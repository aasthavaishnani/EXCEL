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OneDrive\Desktop\RW\Excel\"/>
    </mc:Choice>
  </mc:AlternateContent>
  <xr:revisionPtr revIDLastSave="0" documentId="13_ncr:1_{3C4629D2-BA41-40C7-8D5C-27CF9F94F113}" xr6:coauthVersionLast="47" xr6:coauthVersionMax="47" xr10:uidLastSave="{00000000-0000-0000-0000-000000000000}"/>
  <bookViews>
    <workbookView xWindow="-108" yWindow="-108" windowWidth="23256" windowHeight="12456" xr2:uid="{55CBBE9E-8C33-43B4-B0C9-B4EEBCC86466}"/>
  </bookViews>
  <sheets>
    <sheet name="Dashboard" sheetId="5" r:id="rId1"/>
    <sheet name="Sales Data" sheetId="3" r:id="rId2"/>
    <sheet name="Visualization" sheetId="4" r:id="rId3"/>
  </sheets>
  <definedNames>
    <definedName name="_xlcn.WorksheetConnection_AasthaKumari_Vaishnani_ExcelDashboard.xlsxSalesMaster1" hidden="1">SalesMaster[]</definedName>
    <definedName name="Slicer_Customer_Type">#N/A</definedName>
    <definedName name="Slicer_Product_Category">#N/A</definedName>
    <definedName name="Slicer_Region">#N/A</definedName>
    <definedName name="Slicer_Sales_Channel">#N/A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Master" name="SalesMaster" connection="WorksheetConnection_AasthaKumari_Vaishnani_ExcelDashboard.xlsx!SalesMaster"/>
        </x15:modelTables>
      </x15:dataModel>
    </ext>
  </extLst>
</workbook>
</file>

<file path=xl/calcChain.xml><?xml version="1.0" encoding="utf-8"?>
<calcChain xmlns="http://schemas.openxmlformats.org/spreadsheetml/2006/main">
  <c r="T2" i="3" l="1"/>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B53" i="4"/>
  <c r="S301" i="3"/>
  <c r="R301" i="3"/>
  <c r="Q301" i="3"/>
  <c r="P301" i="3"/>
  <c r="O301" i="3"/>
  <c r="S300" i="3"/>
  <c r="P300" i="3"/>
  <c r="Q300" i="3" s="1"/>
  <c r="R300" i="3" s="1"/>
  <c r="O300" i="3"/>
  <c r="S299" i="3"/>
  <c r="P299" i="3"/>
  <c r="O299" i="3"/>
  <c r="Q299" i="3" s="1"/>
  <c r="R299" i="3" s="1"/>
  <c r="S298" i="3"/>
  <c r="P298" i="3"/>
  <c r="O298" i="3"/>
  <c r="Q298" i="3" s="1"/>
  <c r="R298" i="3" s="1"/>
  <c r="S297" i="3"/>
  <c r="Q297" i="3"/>
  <c r="R297" i="3" s="1"/>
  <c r="P297" i="3"/>
  <c r="O297" i="3"/>
  <c r="S296" i="3"/>
  <c r="P296" i="3"/>
  <c r="O296" i="3"/>
  <c r="Q296" i="3" s="1"/>
  <c r="R296" i="3" s="1"/>
  <c r="S295" i="3"/>
  <c r="P295" i="3"/>
  <c r="O295" i="3"/>
  <c r="Q295" i="3" s="1"/>
  <c r="R295" i="3" s="1"/>
  <c r="S294" i="3"/>
  <c r="P294" i="3"/>
  <c r="Q294" i="3" s="1"/>
  <c r="R294" i="3" s="1"/>
  <c r="O294" i="3"/>
  <c r="S293" i="3"/>
  <c r="P293" i="3"/>
  <c r="Q293" i="3" s="1"/>
  <c r="R293" i="3" s="1"/>
  <c r="O293" i="3"/>
  <c r="S292" i="3"/>
  <c r="R292" i="3"/>
  <c r="Q292" i="3"/>
  <c r="P292" i="3"/>
  <c r="O292" i="3"/>
  <c r="S291" i="3"/>
  <c r="P291" i="3"/>
  <c r="O291" i="3"/>
  <c r="Q291" i="3" s="1"/>
  <c r="R291" i="3" s="1"/>
  <c r="S290" i="3"/>
  <c r="P290" i="3"/>
  <c r="O290" i="3"/>
  <c r="Q290" i="3" s="1"/>
  <c r="R290" i="3" s="1"/>
  <c r="S289" i="3"/>
  <c r="Q289" i="3"/>
  <c r="R289" i="3" s="1"/>
  <c r="P289" i="3"/>
  <c r="O289" i="3"/>
  <c r="S288" i="3"/>
  <c r="P288" i="3"/>
  <c r="O288" i="3"/>
  <c r="Q288" i="3" s="1"/>
  <c r="R288" i="3" s="1"/>
  <c r="S287" i="3"/>
  <c r="P287" i="3"/>
  <c r="O287" i="3"/>
  <c r="Q287" i="3" s="1"/>
  <c r="R287" i="3" s="1"/>
  <c r="S286" i="3"/>
  <c r="P286" i="3"/>
  <c r="Q286" i="3" s="1"/>
  <c r="R286" i="3" s="1"/>
  <c r="O286" i="3"/>
  <c r="S285" i="3"/>
  <c r="P285" i="3"/>
  <c r="Q285" i="3" s="1"/>
  <c r="R285" i="3" s="1"/>
  <c r="O285" i="3"/>
  <c r="S284" i="3"/>
  <c r="R284" i="3"/>
  <c r="Q284" i="3"/>
  <c r="P284" i="3"/>
  <c r="O284" i="3"/>
  <c r="S283" i="3"/>
  <c r="P283" i="3"/>
  <c r="O283" i="3"/>
  <c r="Q283" i="3" s="1"/>
  <c r="R283" i="3" s="1"/>
  <c r="S282" i="3"/>
  <c r="P282" i="3"/>
  <c r="O282" i="3"/>
  <c r="Q282" i="3" s="1"/>
  <c r="R282" i="3" s="1"/>
  <c r="S281" i="3"/>
  <c r="Q281" i="3"/>
  <c r="R281" i="3" s="1"/>
  <c r="P281" i="3"/>
  <c r="O281" i="3"/>
  <c r="S280" i="3"/>
  <c r="P280" i="3"/>
  <c r="O280" i="3"/>
  <c r="Q280" i="3" s="1"/>
  <c r="R280" i="3" s="1"/>
  <c r="S279" i="3"/>
  <c r="P279" i="3"/>
  <c r="O279" i="3"/>
  <c r="Q279" i="3" s="1"/>
  <c r="R279" i="3" s="1"/>
  <c r="S278" i="3"/>
  <c r="P278" i="3"/>
  <c r="Q278" i="3" s="1"/>
  <c r="R278" i="3" s="1"/>
  <c r="O278" i="3"/>
  <c r="S277" i="3"/>
  <c r="P277" i="3"/>
  <c r="Q277" i="3" s="1"/>
  <c r="R277" i="3" s="1"/>
  <c r="O277" i="3"/>
  <c r="S276" i="3"/>
  <c r="R276" i="3"/>
  <c r="Q276" i="3"/>
  <c r="P276" i="3"/>
  <c r="O276" i="3"/>
  <c r="S275" i="3"/>
  <c r="P275" i="3"/>
  <c r="O275" i="3"/>
  <c r="Q275" i="3" s="1"/>
  <c r="R275" i="3" s="1"/>
  <c r="S274" i="3"/>
  <c r="P274" i="3"/>
  <c r="O274" i="3"/>
  <c r="Q274" i="3" s="1"/>
  <c r="R274" i="3" s="1"/>
  <c r="S273" i="3"/>
  <c r="Q273" i="3"/>
  <c r="R273" i="3" s="1"/>
  <c r="P273" i="3"/>
  <c r="O273" i="3"/>
  <c r="S272" i="3"/>
  <c r="P272" i="3"/>
  <c r="O272" i="3"/>
  <c r="Q272" i="3" s="1"/>
  <c r="R272" i="3" s="1"/>
  <c r="S271" i="3"/>
  <c r="P271" i="3"/>
  <c r="O271" i="3"/>
  <c r="Q271" i="3" s="1"/>
  <c r="R271" i="3" s="1"/>
  <c r="S270" i="3"/>
  <c r="P270" i="3"/>
  <c r="Q270" i="3" s="1"/>
  <c r="R270" i="3" s="1"/>
  <c r="O270" i="3"/>
  <c r="S269" i="3"/>
  <c r="P269" i="3"/>
  <c r="Q269" i="3" s="1"/>
  <c r="R269" i="3" s="1"/>
  <c r="O269" i="3"/>
  <c r="S268" i="3"/>
  <c r="R268" i="3"/>
  <c r="Q268" i="3"/>
  <c r="P268" i="3"/>
  <c r="O268" i="3"/>
  <c r="S267" i="3"/>
  <c r="P267" i="3"/>
  <c r="O267" i="3"/>
  <c r="Q267" i="3" s="1"/>
  <c r="R267" i="3" s="1"/>
  <c r="S266" i="3"/>
  <c r="P266" i="3"/>
  <c r="O266" i="3"/>
  <c r="Q266" i="3" s="1"/>
  <c r="R266" i="3" s="1"/>
  <c r="S265" i="3"/>
  <c r="Q265" i="3"/>
  <c r="R265" i="3" s="1"/>
  <c r="P265" i="3"/>
  <c r="O265" i="3"/>
  <c r="S264" i="3"/>
  <c r="P264" i="3"/>
  <c r="O264" i="3"/>
  <c r="Q264" i="3" s="1"/>
  <c r="R264" i="3" s="1"/>
  <c r="S263" i="3"/>
  <c r="P263" i="3"/>
  <c r="O263" i="3"/>
  <c r="Q263" i="3" s="1"/>
  <c r="R263" i="3" s="1"/>
  <c r="S262" i="3"/>
  <c r="P262" i="3"/>
  <c r="Q262" i="3" s="1"/>
  <c r="R262" i="3" s="1"/>
  <c r="O262" i="3"/>
  <c r="S261" i="3"/>
  <c r="P261" i="3"/>
  <c r="Q261" i="3" s="1"/>
  <c r="R261" i="3" s="1"/>
  <c r="O261" i="3"/>
  <c r="S260" i="3"/>
  <c r="R260" i="3"/>
  <c r="Q260" i="3"/>
  <c r="P260" i="3"/>
  <c r="O260" i="3"/>
  <c r="S259" i="3"/>
  <c r="P259" i="3"/>
  <c r="O259" i="3"/>
  <c r="Q259" i="3" s="1"/>
  <c r="R259" i="3" s="1"/>
  <c r="S258" i="3"/>
  <c r="P258" i="3"/>
  <c r="O258" i="3"/>
  <c r="Q258" i="3" s="1"/>
  <c r="R258" i="3" s="1"/>
  <c r="S257" i="3"/>
  <c r="Q257" i="3"/>
  <c r="R257" i="3" s="1"/>
  <c r="P257" i="3"/>
  <c r="O257" i="3"/>
  <c r="S256" i="3"/>
  <c r="P256" i="3"/>
  <c r="O256" i="3"/>
  <c r="Q256" i="3" s="1"/>
  <c r="R256" i="3" s="1"/>
  <c r="S255" i="3"/>
  <c r="P255" i="3"/>
  <c r="O255" i="3"/>
  <c r="Q255" i="3" s="1"/>
  <c r="R255" i="3" s="1"/>
  <c r="S254" i="3"/>
  <c r="P254" i="3"/>
  <c r="Q254" i="3" s="1"/>
  <c r="R254" i="3" s="1"/>
  <c r="O254" i="3"/>
  <c r="S253" i="3"/>
  <c r="P253" i="3"/>
  <c r="Q253" i="3" s="1"/>
  <c r="R253" i="3" s="1"/>
  <c r="O253" i="3"/>
  <c r="S252" i="3"/>
  <c r="R252" i="3"/>
  <c r="Q252" i="3"/>
  <c r="P252" i="3"/>
  <c r="O252" i="3"/>
  <c r="S251" i="3"/>
  <c r="P251" i="3"/>
  <c r="O251" i="3"/>
  <c r="Q251" i="3" s="1"/>
  <c r="R251" i="3" s="1"/>
  <c r="S250" i="3"/>
  <c r="P250" i="3"/>
  <c r="O250" i="3"/>
  <c r="Q250" i="3" s="1"/>
  <c r="R250" i="3" s="1"/>
  <c r="S249" i="3"/>
  <c r="Q249" i="3"/>
  <c r="R249" i="3" s="1"/>
  <c r="P249" i="3"/>
  <c r="O249" i="3"/>
  <c r="S248" i="3"/>
  <c r="P248" i="3"/>
  <c r="O248" i="3"/>
  <c r="Q248" i="3" s="1"/>
  <c r="R248" i="3" s="1"/>
  <c r="S247" i="3"/>
  <c r="P247" i="3"/>
  <c r="O247" i="3"/>
  <c r="Q247" i="3" s="1"/>
  <c r="R247" i="3" s="1"/>
  <c r="S246" i="3"/>
  <c r="P246" i="3"/>
  <c r="Q246" i="3" s="1"/>
  <c r="R246" i="3" s="1"/>
  <c r="O246" i="3"/>
  <c r="S245" i="3"/>
  <c r="P245" i="3"/>
  <c r="Q245" i="3" s="1"/>
  <c r="R245" i="3" s="1"/>
  <c r="O245" i="3"/>
  <c r="S244" i="3"/>
  <c r="R244" i="3"/>
  <c r="Q244" i="3"/>
  <c r="P244" i="3"/>
  <c r="O244" i="3"/>
  <c r="S243" i="3"/>
  <c r="P243" i="3"/>
  <c r="O243" i="3"/>
  <c r="Q243" i="3" s="1"/>
  <c r="R243" i="3" s="1"/>
  <c r="S242" i="3"/>
  <c r="P242" i="3"/>
  <c r="O242" i="3"/>
  <c r="Q242" i="3" s="1"/>
  <c r="R242" i="3" s="1"/>
  <c r="S241" i="3"/>
  <c r="Q241" i="3"/>
  <c r="R241" i="3" s="1"/>
  <c r="P241" i="3"/>
  <c r="O241" i="3"/>
  <c r="S240" i="3"/>
  <c r="P240" i="3"/>
  <c r="O240" i="3"/>
  <c r="Q240" i="3" s="1"/>
  <c r="R240" i="3" s="1"/>
  <c r="S239" i="3"/>
  <c r="P239" i="3"/>
  <c r="O239" i="3"/>
  <c r="Q239" i="3" s="1"/>
  <c r="R239" i="3" s="1"/>
  <c r="S238" i="3"/>
  <c r="P238" i="3"/>
  <c r="Q238" i="3" s="1"/>
  <c r="R238" i="3" s="1"/>
  <c r="O238" i="3"/>
  <c r="S237" i="3"/>
  <c r="P237" i="3"/>
  <c r="Q237" i="3" s="1"/>
  <c r="R237" i="3" s="1"/>
  <c r="O237" i="3"/>
  <c r="S236" i="3"/>
  <c r="R236" i="3"/>
  <c r="Q236" i="3"/>
  <c r="P236" i="3"/>
  <c r="O236" i="3"/>
  <c r="S235" i="3"/>
  <c r="P235" i="3"/>
  <c r="O235" i="3"/>
  <c r="Q235" i="3" s="1"/>
  <c r="R235" i="3" s="1"/>
  <c r="S234" i="3"/>
  <c r="P234" i="3"/>
  <c r="O234" i="3"/>
  <c r="Q234" i="3" s="1"/>
  <c r="R234" i="3" s="1"/>
  <c r="S233" i="3"/>
  <c r="Q233" i="3"/>
  <c r="R233" i="3" s="1"/>
  <c r="P233" i="3"/>
  <c r="O233" i="3"/>
  <c r="S232" i="3"/>
  <c r="P232" i="3"/>
  <c r="O232" i="3"/>
  <c r="Q232" i="3" s="1"/>
  <c r="R232" i="3" s="1"/>
  <c r="S231" i="3"/>
  <c r="P231" i="3"/>
  <c r="O231" i="3"/>
  <c r="Q231" i="3" s="1"/>
  <c r="R231" i="3" s="1"/>
  <c r="S230" i="3"/>
  <c r="P230" i="3"/>
  <c r="Q230" i="3" s="1"/>
  <c r="R230" i="3" s="1"/>
  <c r="O230" i="3"/>
  <c r="S229" i="3"/>
  <c r="P229" i="3"/>
  <c r="Q229" i="3" s="1"/>
  <c r="R229" i="3" s="1"/>
  <c r="O229" i="3"/>
  <c r="S228" i="3"/>
  <c r="R228" i="3"/>
  <c r="Q228" i="3"/>
  <c r="P228" i="3"/>
  <c r="O228" i="3"/>
  <c r="S227" i="3"/>
  <c r="P227" i="3"/>
  <c r="O227" i="3"/>
  <c r="Q227" i="3" s="1"/>
  <c r="R227" i="3" s="1"/>
  <c r="S226" i="3"/>
  <c r="P226" i="3"/>
  <c r="O226" i="3"/>
  <c r="Q226" i="3" s="1"/>
  <c r="R226" i="3" s="1"/>
  <c r="S225" i="3"/>
  <c r="Q225" i="3"/>
  <c r="R225" i="3" s="1"/>
  <c r="P225" i="3"/>
  <c r="O225" i="3"/>
  <c r="S224" i="3"/>
  <c r="P224" i="3"/>
  <c r="O224" i="3"/>
  <c r="Q224" i="3" s="1"/>
  <c r="R224" i="3" s="1"/>
  <c r="S223" i="3"/>
  <c r="P223" i="3"/>
  <c r="O223" i="3"/>
  <c r="Q223" i="3" s="1"/>
  <c r="R223" i="3" s="1"/>
  <c r="S222" i="3"/>
  <c r="P222" i="3"/>
  <c r="Q222" i="3" s="1"/>
  <c r="R222" i="3" s="1"/>
  <c r="O222" i="3"/>
  <c r="S221" i="3"/>
  <c r="P221" i="3"/>
  <c r="Q221" i="3" s="1"/>
  <c r="R221" i="3" s="1"/>
  <c r="O221" i="3"/>
  <c r="S220" i="3"/>
  <c r="R220" i="3"/>
  <c r="Q220" i="3"/>
  <c r="P220" i="3"/>
  <c r="O220" i="3"/>
  <c r="S219" i="3"/>
  <c r="P219" i="3"/>
  <c r="O219" i="3"/>
  <c r="Q219" i="3" s="1"/>
  <c r="R219" i="3" s="1"/>
  <c r="S218" i="3"/>
  <c r="P218" i="3"/>
  <c r="O218" i="3"/>
  <c r="Q218" i="3" s="1"/>
  <c r="R218" i="3" s="1"/>
  <c r="S217" i="3"/>
  <c r="Q217" i="3"/>
  <c r="R217" i="3" s="1"/>
  <c r="P217" i="3"/>
  <c r="O217" i="3"/>
  <c r="S216" i="3"/>
  <c r="P216" i="3"/>
  <c r="O216" i="3"/>
  <c r="Q216" i="3" s="1"/>
  <c r="R216" i="3" s="1"/>
  <c r="S215" i="3"/>
  <c r="P215" i="3"/>
  <c r="O215" i="3"/>
  <c r="Q215" i="3" s="1"/>
  <c r="R215" i="3" s="1"/>
  <c r="S214" i="3"/>
  <c r="P214" i="3"/>
  <c r="Q214" i="3" s="1"/>
  <c r="R214" i="3" s="1"/>
  <c r="O214" i="3"/>
  <c r="S213" i="3"/>
  <c r="P213" i="3"/>
  <c r="Q213" i="3" s="1"/>
  <c r="R213" i="3" s="1"/>
  <c r="O213" i="3"/>
  <c r="S212" i="3"/>
  <c r="R212" i="3"/>
  <c r="Q212" i="3"/>
  <c r="P212" i="3"/>
  <c r="O212" i="3"/>
  <c r="S211" i="3"/>
  <c r="P211" i="3"/>
  <c r="O211" i="3"/>
  <c r="Q211" i="3" s="1"/>
  <c r="R211" i="3" s="1"/>
  <c r="S210" i="3"/>
  <c r="P210" i="3"/>
  <c r="O210" i="3"/>
  <c r="Q210" i="3" s="1"/>
  <c r="R210" i="3" s="1"/>
  <c r="S209" i="3"/>
  <c r="Q209" i="3"/>
  <c r="R209" i="3" s="1"/>
  <c r="P209" i="3"/>
  <c r="O209" i="3"/>
  <c r="S208" i="3"/>
  <c r="P208" i="3"/>
  <c r="O208" i="3"/>
  <c r="Q208" i="3" s="1"/>
  <c r="R208" i="3" s="1"/>
  <c r="S207" i="3"/>
  <c r="P207" i="3"/>
  <c r="O207" i="3"/>
  <c r="Q207" i="3" s="1"/>
  <c r="R207" i="3" s="1"/>
  <c r="S206" i="3"/>
  <c r="P206" i="3"/>
  <c r="Q206" i="3" s="1"/>
  <c r="R206" i="3" s="1"/>
  <c r="O206" i="3"/>
  <c r="S205" i="3"/>
  <c r="P205" i="3"/>
  <c r="Q205" i="3" s="1"/>
  <c r="R205" i="3" s="1"/>
  <c r="O205" i="3"/>
  <c r="S204" i="3"/>
  <c r="R204" i="3"/>
  <c r="Q204" i="3"/>
  <c r="P204" i="3"/>
  <c r="O204" i="3"/>
  <c r="S203" i="3"/>
  <c r="P203" i="3"/>
  <c r="O203" i="3"/>
  <c r="Q203" i="3" s="1"/>
  <c r="R203" i="3" s="1"/>
  <c r="S202" i="3"/>
  <c r="P202" i="3"/>
  <c r="O202" i="3"/>
  <c r="Q202" i="3" s="1"/>
  <c r="R202" i="3" s="1"/>
  <c r="S201" i="3"/>
  <c r="Q201" i="3"/>
  <c r="R201" i="3" s="1"/>
  <c r="P201" i="3"/>
  <c r="O201" i="3"/>
  <c r="S200" i="3"/>
  <c r="P200" i="3"/>
  <c r="O200" i="3"/>
  <c r="Q200" i="3" s="1"/>
  <c r="R200" i="3" s="1"/>
  <c r="S199" i="3"/>
  <c r="P199" i="3"/>
  <c r="O199" i="3"/>
  <c r="Q199" i="3" s="1"/>
  <c r="R199" i="3" s="1"/>
  <c r="S198" i="3"/>
  <c r="P198" i="3"/>
  <c r="Q198" i="3" s="1"/>
  <c r="R198" i="3" s="1"/>
  <c r="O198" i="3"/>
  <c r="S197" i="3"/>
  <c r="P197" i="3"/>
  <c r="Q197" i="3" s="1"/>
  <c r="R197" i="3" s="1"/>
  <c r="O197" i="3"/>
  <c r="S196" i="3"/>
  <c r="R196" i="3"/>
  <c r="Q196" i="3"/>
  <c r="P196" i="3"/>
  <c r="O196" i="3"/>
  <c r="S195" i="3"/>
  <c r="P195" i="3"/>
  <c r="O195" i="3"/>
  <c r="Q195" i="3" s="1"/>
  <c r="R195" i="3" s="1"/>
  <c r="S194" i="3"/>
  <c r="P194" i="3"/>
  <c r="O194" i="3"/>
  <c r="Q194" i="3" s="1"/>
  <c r="R194" i="3" s="1"/>
  <c r="S193" i="3"/>
  <c r="Q193" i="3"/>
  <c r="R193" i="3" s="1"/>
  <c r="P193" i="3"/>
  <c r="O193" i="3"/>
  <c r="S192" i="3"/>
  <c r="P192" i="3"/>
  <c r="O192" i="3"/>
  <c r="Q192" i="3" s="1"/>
  <c r="R192" i="3" s="1"/>
  <c r="S191" i="3"/>
  <c r="P191" i="3"/>
  <c r="O191" i="3"/>
  <c r="Q191" i="3" s="1"/>
  <c r="R191" i="3" s="1"/>
  <c r="S190" i="3"/>
  <c r="P190" i="3"/>
  <c r="Q190" i="3" s="1"/>
  <c r="R190" i="3" s="1"/>
  <c r="O190" i="3"/>
  <c r="S189" i="3"/>
  <c r="P189" i="3"/>
  <c r="Q189" i="3" s="1"/>
  <c r="R189" i="3" s="1"/>
  <c r="O189" i="3"/>
  <c r="S188" i="3"/>
  <c r="R188" i="3"/>
  <c r="Q188" i="3"/>
  <c r="P188" i="3"/>
  <c r="O188" i="3"/>
  <c r="S187" i="3"/>
  <c r="P187" i="3"/>
  <c r="O187" i="3"/>
  <c r="Q187" i="3" s="1"/>
  <c r="R187" i="3" s="1"/>
  <c r="S186" i="3"/>
  <c r="P186" i="3"/>
  <c r="O186" i="3"/>
  <c r="Q186" i="3" s="1"/>
  <c r="R186" i="3" s="1"/>
  <c r="S185" i="3"/>
  <c r="Q185" i="3"/>
  <c r="R185" i="3" s="1"/>
  <c r="P185" i="3"/>
  <c r="O185" i="3"/>
  <c r="S184" i="3"/>
  <c r="P184" i="3"/>
  <c r="O184" i="3"/>
  <c r="Q184" i="3" s="1"/>
  <c r="R184" i="3" s="1"/>
  <c r="S183" i="3"/>
  <c r="P183" i="3"/>
  <c r="O183" i="3"/>
  <c r="Q183" i="3" s="1"/>
  <c r="R183" i="3" s="1"/>
  <c r="S182" i="3"/>
  <c r="P182" i="3"/>
  <c r="Q182" i="3" s="1"/>
  <c r="R182" i="3" s="1"/>
  <c r="O182" i="3"/>
  <c r="S181" i="3"/>
  <c r="P181" i="3"/>
  <c r="Q181" i="3" s="1"/>
  <c r="R181" i="3" s="1"/>
  <c r="O181" i="3"/>
  <c r="S180" i="3"/>
  <c r="R180" i="3"/>
  <c r="Q180" i="3"/>
  <c r="P180" i="3"/>
  <c r="O180" i="3"/>
  <c r="S179" i="3"/>
  <c r="P179" i="3"/>
  <c r="O179" i="3"/>
  <c r="Q179" i="3" s="1"/>
  <c r="R179" i="3" s="1"/>
  <c r="S178" i="3"/>
  <c r="P178" i="3"/>
  <c r="O178" i="3"/>
  <c r="Q178" i="3" s="1"/>
  <c r="R178" i="3" s="1"/>
  <c r="S177" i="3"/>
  <c r="Q177" i="3"/>
  <c r="R177" i="3" s="1"/>
  <c r="P177" i="3"/>
  <c r="O177" i="3"/>
  <c r="S176" i="3"/>
  <c r="P176" i="3"/>
  <c r="O176" i="3"/>
  <c r="Q176" i="3" s="1"/>
  <c r="R176" i="3" s="1"/>
  <c r="S175" i="3"/>
  <c r="P175" i="3"/>
  <c r="O175" i="3"/>
  <c r="Q175" i="3" s="1"/>
  <c r="R175" i="3" s="1"/>
  <c r="S174" i="3"/>
  <c r="P174" i="3"/>
  <c r="Q174" i="3" s="1"/>
  <c r="R174" i="3" s="1"/>
  <c r="O174" i="3"/>
  <c r="S173" i="3"/>
  <c r="P173" i="3"/>
  <c r="Q173" i="3" s="1"/>
  <c r="R173" i="3" s="1"/>
  <c r="O173" i="3"/>
  <c r="S172" i="3"/>
  <c r="R172" i="3"/>
  <c r="Q172" i="3"/>
  <c r="P172" i="3"/>
  <c r="O172" i="3"/>
  <c r="S171" i="3"/>
  <c r="P171" i="3"/>
  <c r="O171" i="3"/>
  <c r="Q171" i="3" s="1"/>
  <c r="R171" i="3" s="1"/>
  <c r="S170" i="3"/>
  <c r="P170" i="3"/>
  <c r="O170" i="3"/>
  <c r="Q170" i="3" s="1"/>
  <c r="R170" i="3" s="1"/>
  <c r="S169" i="3"/>
  <c r="Q169" i="3"/>
  <c r="R169" i="3" s="1"/>
  <c r="P169" i="3"/>
  <c r="O169" i="3"/>
  <c r="S168" i="3"/>
  <c r="P168" i="3"/>
  <c r="O168" i="3"/>
  <c r="Q168" i="3" s="1"/>
  <c r="R168" i="3" s="1"/>
  <c r="S167" i="3"/>
  <c r="P167" i="3"/>
  <c r="O167" i="3"/>
  <c r="Q167" i="3" s="1"/>
  <c r="R167" i="3" s="1"/>
  <c r="S166" i="3"/>
  <c r="P166" i="3"/>
  <c r="Q166" i="3" s="1"/>
  <c r="R166" i="3" s="1"/>
  <c r="O166" i="3"/>
  <c r="S165" i="3"/>
  <c r="P165" i="3"/>
  <c r="Q165" i="3" s="1"/>
  <c r="R165" i="3" s="1"/>
  <c r="O165" i="3"/>
  <c r="S164" i="3"/>
  <c r="R164" i="3"/>
  <c r="Q164" i="3"/>
  <c r="P164" i="3"/>
  <c r="O164" i="3"/>
  <c r="S163" i="3"/>
  <c r="P163" i="3"/>
  <c r="O163" i="3"/>
  <c r="Q163" i="3" s="1"/>
  <c r="R163" i="3" s="1"/>
  <c r="S162" i="3"/>
  <c r="P162" i="3"/>
  <c r="O162" i="3"/>
  <c r="Q162" i="3" s="1"/>
  <c r="R162" i="3" s="1"/>
  <c r="S161" i="3"/>
  <c r="Q161" i="3"/>
  <c r="R161" i="3" s="1"/>
  <c r="P161" i="3"/>
  <c r="O161" i="3"/>
  <c r="S160" i="3"/>
  <c r="P160" i="3"/>
  <c r="O160" i="3"/>
  <c r="Q160" i="3" s="1"/>
  <c r="R160" i="3" s="1"/>
  <c r="S159" i="3"/>
  <c r="P159" i="3"/>
  <c r="O159" i="3"/>
  <c r="Q159" i="3" s="1"/>
  <c r="R159" i="3" s="1"/>
  <c r="S158" i="3"/>
  <c r="P158" i="3"/>
  <c r="Q158" i="3" s="1"/>
  <c r="R158" i="3" s="1"/>
  <c r="O158" i="3"/>
  <c r="S157" i="3"/>
  <c r="P157" i="3"/>
  <c r="Q157" i="3" s="1"/>
  <c r="R157" i="3" s="1"/>
  <c r="O157" i="3"/>
  <c r="S156" i="3"/>
  <c r="R156" i="3"/>
  <c r="Q156" i="3"/>
  <c r="P156" i="3"/>
  <c r="O156" i="3"/>
  <c r="S155" i="3"/>
  <c r="P155" i="3"/>
  <c r="O155" i="3"/>
  <c r="Q155" i="3" s="1"/>
  <c r="R155" i="3" s="1"/>
  <c r="S154" i="3"/>
  <c r="P154" i="3"/>
  <c r="O154" i="3"/>
  <c r="Q154" i="3" s="1"/>
  <c r="R154" i="3" s="1"/>
  <c r="S153" i="3"/>
  <c r="Q153" i="3"/>
  <c r="R153" i="3" s="1"/>
  <c r="P153" i="3"/>
  <c r="O153" i="3"/>
  <c r="S152" i="3"/>
  <c r="P152" i="3"/>
  <c r="O152" i="3"/>
  <c r="Q152" i="3" s="1"/>
  <c r="R152" i="3" s="1"/>
  <c r="S151" i="3"/>
  <c r="P151" i="3"/>
  <c r="O151" i="3"/>
  <c r="Q151" i="3" s="1"/>
  <c r="R151" i="3" s="1"/>
  <c r="S150" i="3"/>
  <c r="P150" i="3"/>
  <c r="Q150" i="3" s="1"/>
  <c r="R150" i="3" s="1"/>
  <c r="O150" i="3"/>
  <c r="S149" i="3"/>
  <c r="P149" i="3"/>
  <c r="Q149" i="3" s="1"/>
  <c r="R149" i="3" s="1"/>
  <c r="O149" i="3"/>
  <c r="S148" i="3"/>
  <c r="R148" i="3"/>
  <c r="Q148" i="3"/>
  <c r="P148" i="3"/>
  <c r="O148" i="3"/>
  <c r="S147" i="3"/>
  <c r="P147" i="3"/>
  <c r="O147" i="3"/>
  <c r="Q147" i="3" s="1"/>
  <c r="R147" i="3" s="1"/>
  <c r="S146" i="3"/>
  <c r="P146" i="3"/>
  <c r="O146" i="3"/>
  <c r="Q146" i="3" s="1"/>
  <c r="R146" i="3" s="1"/>
  <c r="S145" i="3"/>
  <c r="Q145" i="3"/>
  <c r="R145" i="3" s="1"/>
  <c r="P145" i="3"/>
  <c r="O145" i="3"/>
  <c r="S144" i="3"/>
  <c r="P144" i="3"/>
  <c r="O144" i="3"/>
  <c r="Q144" i="3" s="1"/>
  <c r="R144" i="3" s="1"/>
  <c r="S143" i="3"/>
  <c r="P143" i="3"/>
  <c r="O143" i="3"/>
  <c r="Q143" i="3" s="1"/>
  <c r="R143" i="3" s="1"/>
  <c r="S142" i="3"/>
  <c r="P142" i="3"/>
  <c r="Q142" i="3" s="1"/>
  <c r="R142" i="3" s="1"/>
  <c r="O142" i="3"/>
  <c r="S141" i="3"/>
  <c r="P141" i="3"/>
  <c r="Q141" i="3" s="1"/>
  <c r="R141" i="3" s="1"/>
  <c r="O141" i="3"/>
  <c r="S140" i="3"/>
  <c r="R140" i="3"/>
  <c r="Q140" i="3"/>
  <c r="P140" i="3"/>
  <c r="O140" i="3"/>
  <c r="S139" i="3"/>
  <c r="P139" i="3"/>
  <c r="O139" i="3"/>
  <c r="Q139" i="3" s="1"/>
  <c r="R139" i="3" s="1"/>
  <c r="S138" i="3"/>
  <c r="P138" i="3"/>
  <c r="O138" i="3"/>
  <c r="Q138" i="3" s="1"/>
  <c r="R138" i="3" s="1"/>
  <c r="S137" i="3"/>
  <c r="Q137" i="3"/>
  <c r="R137" i="3" s="1"/>
  <c r="P137" i="3"/>
  <c r="O137" i="3"/>
  <c r="S136" i="3"/>
  <c r="P136" i="3"/>
  <c r="O136" i="3"/>
  <c r="Q136" i="3" s="1"/>
  <c r="R136" i="3" s="1"/>
  <c r="S135" i="3"/>
  <c r="P135" i="3"/>
  <c r="O135" i="3"/>
  <c r="Q135" i="3" s="1"/>
  <c r="R135" i="3" s="1"/>
  <c r="S134" i="3"/>
  <c r="P134" i="3"/>
  <c r="Q134" i="3" s="1"/>
  <c r="R134" i="3" s="1"/>
  <c r="O134" i="3"/>
  <c r="S133" i="3"/>
  <c r="P133" i="3"/>
  <c r="Q133" i="3" s="1"/>
  <c r="R133" i="3" s="1"/>
  <c r="O133" i="3"/>
  <c r="S132" i="3"/>
  <c r="R132" i="3"/>
  <c r="Q132" i="3"/>
  <c r="P132" i="3"/>
  <c r="O132" i="3"/>
  <c r="S131" i="3"/>
  <c r="P131" i="3"/>
  <c r="O131" i="3"/>
  <c r="Q131" i="3" s="1"/>
  <c r="R131" i="3" s="1"/>
  <c r="S130" i="3"/>
  <c r="P130" i="3"/>
  <c r="O130" i="3"/>
  <c r="Q130" i="3" s="1"/>
  <c r="R130" i="3" s="1"/>
  <c r="S129" i="3"/>
  <c r="Q129" i="3"/>
  <c r="R129" i="3" s="1"/>
  <c r="P129" i="3"/>
  <c r="O129" i="3"/>
  <c r="S128" i="3"/>
  <c r="P128" i="3"/>
  <c r="O128" i="3"/>
  <c r="Q128" i="3" s="1"/>
  <c r="R128" i="3" s="1"/>
  <c r="S127" i="3"/>
  <c r="P127" i="3"/>
  <c r="O127" i="3"/>
  <c r="Q127" i="3" s="1"/>
  <c r="R127" i="3" s="1"/>
  <c r="S126" i="3"/>
  <c r="P126" i="3"/>
  <c r="Q126" i="3" s="1"/>
  <c r="R126" i="3" s="1"/>
  <c r="O126" i="3"/>
  <c r="S125" i="3"/>
  <c r="P125" i="3"/>
  <c r="Q125" i="3" s="1"/>
  <c r="R125" i="3" s="1"/>
  <c r="O125" i="3"/>
  <c r="S124" i="3"/>
  <c r="R124" i="3"/>
  <c r="Q124" i="3"/>
  <c r="P124" i="3"/>
  <c r="O124" i="3"/>
  <c r="S123" i="3"/>
  <c r="P123" i="3"/>
  <c r="O123" i="3"/>
  <c r="Q123" i="3" s="1"/>
  <c r="R123" i="3" s="1"/>
  <c r="S122" i="3"/>
  <c r="P122" i="3"/>
  <c r="O122" i="3"/>
  <c r="Q122" i="3" s="1"/>
  <c r="R122" i="3" s="1"/>
  <c r="S121" i="3"/>
  <c r="Q121" i="3"/>
  <c r="R121" i="3" s="1"/>
  <c r="P121" i="3"/>
  <c r="O121" i="3"/>
  <c r="S120" i="3"/>
  <c r="P120" i="3"/>
  <c r="O120" i="3"/>
  <c r="Q120" i="3" s="1"/>
  <c r="R120" i="3" s="1"/>
  <c r="S119" i="3"/>
  <c r="P119" i="3"/>
  <c r="O119" i="3"/>
  <c r="Q119" i="3" s="1"/>
  <c r="R119" i="3" s="1"/>
  <c r="S118" i="3"/>
  <c r="P118" i="3"/>
  <c r="Q118" i="3" s="1"/>
  <c r="R118" i="3" s="1"/>
  <c r="O118" i="3"/>
  <c r="S117" i="3"/>
  <c r="P117" i="3"/>
  <c r="Q117" i="3" s="1"/>
  <c r="R117" i="3" s="1"/>
  <c r="O117" i="3"/>
  <c r="S116" i="3"/>
  <c r="R116" i="3"/>
  <c r="Q116" i="3"/>
  <c r="P116" i="3"/>
  <c r="O116" i="3"/>
  <c r="S115" i="3"/>
  <c r="P115" i="3"/>
  <c r="O115" i="3"/>
  <c r="Q115" i="3" s="1"/>
  <c r="R115" i="3" s="1"/>
  <c r="S114" i="3"/>
  <c r="P114" i="3"/>
  <c r="O114" i="3"/>
  <c r="Q114" i="3" s="1"/>
  <c r="R114" i="3" s="1"/>
  <c r="S113" i="3"/>
  <c r="Q113" i="3"/>
  <c r="R113" i="3" s="1"/>
  <c r="P113" i="3"/>
  <c r="O113" i="3"/>
  <c r="S112" i="3"/>
  <c r="P112" i="3"/>
  <c r="O112" i="3"/>
  <c r="Q112" i="3" s="1"/>
  <c r="R112" i="3" s="1"/>
  <c r="S111" i="3"/>
  <c r="P111" i="3"/>
  <c r="O111" i="3"/>
  <c r="Q111" i="3" s="1"/>
  <c r="R111" i="3" s="1"/>
  <c r="S110" i="3"/>
  <c r="P110" i="3"/>
  <c r="Q110" i="3" s="1"/>
  <c r="R110" i="3" s="1"/>
  <c r="O110" i="3"/>
  <c r="S109" i="3"/>
  <c r="P109" i="3"/>
  <c r="Q109" i="3" s="1"/>
  <c r="R109" i="3" s="1"/>
  <c r="O109" i="3"/>
  <c r="S108" i="3"/>
  <c r="R108" i="3"/>
  <c r="Q108" i="3"/>
  <c r="P108" i="3"/>
  <c r="O108" i="3"/>
  <c r="S107" i="3"/>
  <c r="P107" i="3"/>
  <c r="O107" i="3"/>
  <c r="Q107" i="3" s="1"/>
  <c r="R107" i="3" s="1"/>
  <c r="S106" i="3"/>
  <c r="P106" i="3"/>
  <c r="O106" i="3"/>
  <c r="Q106" i="3" s="1"/>
  <c r="R106" i="3" s="1"/>
  <c r="S105" i="3"/>
  <c r="Q105" i="3"/>
  <c r="R105" i="3" s="1"/>
  <c r="P105" i="3"/>
  <c r="O105" i="3"/>
  <c r="S104" i="3"/>
  <c r="P104" i="3"/>
  <c r="O104" i="3"/>
  <c r="Q104" i="3" s="1"/>
  <c r="R104" i="3" s="1"/>
  <c r="S103" i="3"/>
  <c r="P103" i="3"/>
  <c r="O103" i="3"/>
  <c r="Q103" i="3" s="1"/>
  <c r="R103" i="3" s="1"/>
  <c r="S102" i="3"/>
  <c r="P102" i="3"/>
  <c r="Q102" i="3" s="1"/>
  <c r="R102" i="3" s="1"/>
  <c r="O102" i="3"/>
  <c r="S101" i="3"/>
  <c r="P101" i="3"/>
  <c r="Q101" i="3" s="1"/>
  <c r="R101" i="3" s="1"/>
  <c r="O101" i="3"/>
  <c r="S100" i="3"/>
  <c r="R100" i="3"/>
  <c r="Q100" i="3"/>
  <c r="P100" i="3"/>
  <c r="O100" i="3"/>
  <c r="S99" i="3"/>
  <c r="P99" i="3"/>
  <c r="O99" i="3"/>
  <c r="Q99" i="3" s="1"/>
  <c r="R99" i="3" s="1"/>
  <c r="S98" i="3"/>
  <c r="P98" i="3"/>
  <c r="O98" i="3"/>
  <c r="Q98" i="3" s="1"/>
  <c r="R98" i="3" s="1"/>
  <c r="S97" i="3"/>
  <c r="Q97" i="3"/>
  <c r="R97" i="3" s="1"/>
  <c r="P97" i="3"/>
  <c r="O97" i="3"/>
  <c r="S96" i="3"/>
  <c r="P96" i="3"/>
  <c r="O96" i="3"/>
  <c r="Q96" i="3" s="1"/>
  <c r="R96" i="3" s="1"/>
  <c r="S95" i="3"/>
  <c r="P95" i="3"/>
  <c r="O95" i="3"/>
  <c r="Q95" i="3" s="1"/>
  <c r="R95" i="3" s="1"/>
  <c r="S94" i="3"/>
  <c r="P94" i="3"/>
  <c r="Q94" i="3" s="1"/>
  <c r="R94" i="3" s="1"/>
  <c r="O94" i="3"/>
  <c r="S93" i="3"/>
  <c r="P93" i="3"/>
  <c r="Q93" i="3" s="1"/>
  <c r="R93" i="3" s="1"/>
  <c r="O93" i="3"/>
  <c r="S92" i="3"/>
  <c r="R92" i="3"/>
  <c r="Q92" i="3"/>
  <c r="P92" i="3"/>
  <c r="O92" i="3"/>
  <c r="S91" i="3"/>
  <c r="P91" i="3"/>
  <c r="O91" i="3"/>
  <c r="Q91" i="3" s="1"/>
  <c r="R91" i="3" s="1"/>
  <c r="S90" i="3"/>
  <c r="P90" i="3"/>
  <c r="O90" i="3"/>
  <c r="Q90" i="3" s="1"/>
  <c r="R90" i="3" s="1"/>
  <c r="S89" i="3"/>
  <c r="Q89" i="3"/>
  <c r="R89" i="3" s="1"/>
  <c r="P89" i="3"/>
  <c r="O89" i="3"/>
  <c r="S88" i="3"/>
  <c r="P88" i="3"/>
  <c r="O88" i="3"/>
  <c r="Q88" i="3" s="1"/>
  <c r="R88" i="3" s="1"/>
  <c r="S87" i="3"/>
  <c r="P87" i="3"/>
  <c r="O87" i="3"/>
  <c r="Q87" i="3" s="1"/>
  <c r="R87" i="3" s="1"/>
  <c r="S86" i="3"/>
  <c r="P86" i="3"/>
  <c r="Q86" i="3" s="1"/>
  <c r="R86" i="3" s="1"/>
  <c r="O86" i="3"/>
  <c r="S85" i="3"/>
  <c r="P85" i="3"/>
  <c r="Q85" i="3" s="1"/>
  <c r="R85" i="3" s="1"/>
  <c r="O85" i="3"/>
  <c r="S84" i="3"/>
  <c r="R84" i="3"/>
  <c r="Q84" i="3"/>
  <c r="P84" i="3"/>
  <c r="O84" i="3"/>
  <c r="S83" i="3"/>
  <c r="P83" i="3"/>
  <c r="O83" i="3"/>
  <c r="Q83" i="3" s="1"/>
  <c r="R83" i="3" s="1"/>
  <c r="S82" i="3"/>
  <c r="P82" i="3"/>
  <c r="O82" i="3"/>
  <c r="Q82" i="3" s="1"/>
  <c r="R82" i="3" s="1"/>
  <c r="S81" i="3"/>
  <c r="Q81" i="3"/>
  <c r="R81" i="3" s="1"/>
  <c r="P81" i="3"/>
  <c r="O81" i="3"/>
  <c r="S80" i="3"/>
  <c r="P80" i="3"/>
  <c r="O80" i="3"/>
  <c r="Q80" i="3" s="1"/>
  <c r="R80" i="3" s="1"/>
  <c r="S79" i="3"/>
  <c r="P79" i="3"/>
  <c r="O79" i="3"/>
  <c r="Q79" i="3" s="1"/>
  <c r="R79" i="3" s="1"/>
  <c r="S78" i="3"/>
  <c r="P78" i="3"/>
  <c r="Q78" i="3" s="1"/>
  <c r="R78" i="3" s="1"/>
  <c r="O78" i="3"/>
  <c r="S77" i="3"/>
  <c r="P77" i="3"/>
  <c r="Q77" i="3" s="1"/>
  <c r="R77" i="3" s="1"/>
  <c r="O77" i="3"/>
  <c r="S76" i="3"/>
  <c r="R76" i="3"/>
  <c r="Q76" i="3"/>
  <c r="P76" i="3"/>
  <c r="O76" i="3"/>
  <c r="S75" i="3"/>
  <c r="P75" i="3"/>
  <c r="O75" i="3"/>
  <c r="Q75" i="3" s="1"/>
  <c r="R75" i="3" s="1"/>
  <c r="S74" i="3"/>
  <c r="P74" i="3"/>
  <c r="O74" i="3"/>
  <c r="Q74" i="3" s="1"/>
  <c r="R74" i="3" s="1"/>
  <c r="S73" i="3"/>
  <c r="Q73" i="3"/>
  <c r="R73" i="3" s="1"/>
  <c r="P73" i="3"/>
  <c r="O73" i="3"/>
  <c r="S72" i="3"/>
  <c r="P72" i="3"/>
  <c r="O72" i="3"/>
  <c r="Q72" i="3" s="1"/>
  <c r="R72" i="3" s="1"/>
  <c r="S71" i="3"/>
  <c r="P71" i="3"/>
  <c r="O71" i="3"/>
  <c r="Q71" i="3" s="1"/>
  <c r="R71" i="3" s="1"/>
  <c r="S70" i="3"/>
  <c r="P70" i="3"/>
  <c r="Q70" i="3" s="1"/>
  <c r="R70" i="3" s="1"/>
  <c r="O70" i="3"/>
  <c r="S69" i="3"/>
  <c r="P69" i="3"/>
  <c r="Q69" i="3" s="1"/>
  <c r="R69" i="3" s="1"/>
  <c r="O69" i="3"/>
  <c r="S68" i="3"/>
  <c r="R68" i="3"/>
  <c r="Q68" i="3"/>
  <c r="P68" i="3"/>
  <c r="O68" i="3"/>
  <c r="S67" i="3"/>
  <c r="P67" i="3"/>
  <c r="O67" i="3"/>
  <c r="Q67" i="3" s="1"/>
  <c r="R67" i="3" s="1"/>
  <c r="S66" i="3"/>
  <c r="P66" i="3"/>
  <c r="O66" i="3"/>
  <c r="Q66" i="3" s="1"/>
  <c r="R66" i="3" s="1"/>
  <c r="S65" i="3"/>
  <c r="Q65" i="3"/>
  <c r="R65" i="3" s="1"/>
  <c r="P65" i="3"/>
  <c r="O65" i="3"/>
  <c r="S64" i="3"/>
  <c r="P64" i="3"/>
  <c r="O64" i="3"/>
  <c r="Q64" i="3" s="1"/>
  <c r="R64" i="3" s="1"/>
  <c r="S63" i="3"/>
  <c r="P63" i="3"/>
  <c r="O63" i="3"/>
  <c r="Q63" i="3" s="1"/>
  <c r="R63" i="3" s="1"/>
  <c r="S62" i="3"/>
  <c r="P62" i="3"/>
  <c r="Q62" i="3" s="1"/>
  <c r="R62" i="3" s="1"/>
  <c r="O62" i="3"/>
  <c r="S61" i="3"/>
  <c r="P61" i="3"/>
  <c r="Q61" i="3" s="1"/>
  <c r="R61" i="3" s="1"/>
  <c r="O61" i="3"/>
  <c r="S60" i="3"/>
  <c r="R60" i="3"/>
  <c r="Q60" i="3"/>
  <c r="P60" i="3"/>
  <c r="O60" i="3"/>
  <c r="S59" i="3"/>
  <c r="P59" i="3"/>
  <c r="O59" i="3"/>
  <c r="Q59" i="3" s="1"/>
  <c r="R59" i="3" s="1"/>
  <c r="S58" i="3"/>
  <c r="P58" i="3"/>
  <c r="O58" i="3"/>
  <c r="Q58" i="3" s="1"/>
  <c r="R58" i="3" s="1"/>
  <c r="S57" i="3"/>
  <c r="Q57" i="3"/>
  <c r="R57" i="3" s="1"/>
  <c r="P57" i="3"/>
  <c r="O57" i="3"/>
  <c r="S56" i="3"/>
  <c r="P56" i="3"/>
  <c r="O56" i="3"/>
  <c r="Q56" i="3" s="1"/>
  <c r="R56" i="3" s="1"/>
  <c r="S55" i="3"/>
  <c r="P55" i="3"/>
  <c r="O55" i="3"/>
  <c r="Q55" i="3" s="1"/>
  <c r="R55" i="3" s="1"/>
  <c r="S54" i="3"/>
  <c r="P54" i="3"/>
  <c r="Q54" i="3" s="1"/>
  <c r="R54" i="3" s="1"/>
  <c r="O54" i="3"/>
  <c r="S53" i="3"/>
  <c r="P53" i="3"/>
  <c r="Q53" i="3" s="1"/>
  <c r="R53" i="3" s="1"/>
  <c r="O53" i="3"/>
  <c r="S52" i="3"/>
  <c r="R52" i="3"/>
  <c r="Q52" i="3"/>
  <c r="P52" i="3"/>
  <c r="O52" i="3"/>
  <c r="S51" i="3"/>
  <c r="P51" i="3"/>
  <c r="O51" i="3"/>
  <c r="E54" i="4" s="1"/>
  <c r="S50" i="3"/>
  <c r="P50" i="3"/>
  <c r="O50" i="3"/>
  <c r="Q50" i="3" s="1"/>
  <c r="R50" i="3" s="1"/>
  <c r="S49" i="3"/>
  <c r="Q49" i="3"/>
  <c r="R49" i="3" s="1"/>
  <c r="P49" i="3"/>
  <c r="O49" i="3"/>
  <c r="S48" i="3"/>
  <c r="P48" i="3"/>
  <c r="O48" i="3"/>
  <c r="Q48" i="3" s="1"/>
  <c r="R48" i="3" s="1"/>
  <c r="S47" i="3"/>
  <c r="P47" i="3"/>
  <c r="O47" i="3"/>
  <c r="Q47" i="3" s="1"/>
  <c r="R47" i="3" s="1"/>
  <c r="S46" i="3"/>
  <c r="P46" i="3"/>
  <c r="Q46" i="3" s="1"/>
  <c r="R46" i="3" s="1"/>
  <c r="O46" i="3"/>
  <c r="S45" i="3"/>
  <c r="P45" i="3"/>
  <c r="Q45" i="3" s="1"/>
  <c r="R45" i="3" s="1"/>
  <c r="O45" i="3"/>
  <c r="S44" i="3"/>
  <c r="R44" i="3"/>
  <c r="Q44" i="3"/>
  <c r="P44" i="3"/>
  <c r="O44" i="3"/>
  <c r="S43" i="3"/>
  <c r="P43" i="3"/>
  <c r="O43" i="3"/>
  <c r="Q43" i="3" s="1"/>
  <c r="R43" i="3" s="1"/>
  <c r="S42" i="3"/>
  <c r="P42" i="3"/>
  <c r="O42" i="3"/>
  <c r="Q42" i="3" s="1"/>
  <c r="R42" i="3" s="1"/>
  <c r="S41" i="3"/>
  <c r="Q41" i="3"/>
  <c r="R41" i="3" s="1"/>
  <c r="P41" i="3"/>
  <c r="O41" i="3"/>
  <c r="S40" i="3"/>
  <c r="P40" i="3"/>
  <c r="O40" i="3"/>
  <c r="Q40" i="3" s="1"/>
  <c r="R40" i="3" s="1"/>
  <c r="S39" i="3"/>
  <c r="P39" i="3"/>
  <c r="O39" i="3"/>
  <c r="Q39" i="3" s="1"/>
  <c r="R39" i="3" s="1"/>
  <c r="S38" i="3"/>
  <c r="P38" i="3"/>
  <c r="Q38" i="3" s="1"/>
  <c r="R38" i="3" s="1"/>
  <c r="O38" i="3"/>
  <c r="S37" i="3"/>
  <c r="P37" i="3"/>
  <c r="Q37" i="3" s="1"/>
  <c r="R37" i="3" s="1"/>
  <c r="O37" i="3"/>
  <c r="S36" i="3"/>
  <c r="R36" i="3"/>
  <c r="Q36" i="3"/>
  <c r="P36" i="3"/>
  <c r="O36" i="3"/>
  <c r="S35" i="3"/>
  <c r="P35" i="3"/>
  <c r="O35" i="3"/>
  <c r="Q35" i="3" s="1"/>
  <c r="R35" i="3" s="1"/>
  <c r="S34" i="3"/>
  <c r="P34" i="3"/>
  <c r="O34" i="3"/>
  <c r="Q34" i="3" s="1"/>
  <c r="R34" i="3" s="1"/>
  <c r="S33" i="3"/>
  <c r="Q33" i="3"/>
  <c r="R33" i="3" s="1"/>
  <c r="P33" i="3"/>
  <c r="O33" i="3"/>
  <c r="S32" i="3"/>
  <c r="P32" i="3"/>
  <c r="O32" i="3"/>
  <c r="Q32" i="3" s="1"/>
  <c r="R32" i="3" s="1"/>
  <c r="S31" i="3"/>
  <c r="P31" i="3"/>
  <c r="O31" i="3"/>
  <c r="Q31" i="3" s="1"/>
  <c r="R31" i="3" s="1"/>
  <c r="S30" i="3"/>
  <c r="P30" i="3"/>
  <c r="Q30" i="3" s="1"/>
  <c r="R30" i="3" s="1"/>
  <c r="O30" i="3"/>
  <c r="S29" i="3"/>
  <c r="P29" i="3"/>
  <c r="Q29" i="3" s="1"/>
  <c r="R29" i="3" s="1"/>
  <c r="O29" i="3"/>
  <c r="S28" i="3"/>
  <c r="R28" i="3"/>
  <c r="Q28" i="3"/>
  <c r="P28" i="3"/>
  <c r="O28" i="3"/>
  <c r="S27" i="3"/>
  <c r="P27" i="3"/>
  <c r="O27" i="3"/>
  <c r="Q27" i="3" s="1"/>
  <c r="R27" i="3" s="1"/>
  <c r="S26" i="3"/>
  <c r="P26" i="3"/>
  <c r="O26" i="3"/>
  <c r="Q26" i="3" s="1"/>
  <c r="R26" i="3" s="1"/>
  <c r="S25" i="3"/>
  <c r="Q25" i="3"/>
  <c r="R25" i="3" s="1"/>
  <c r="P25" i="3"/>
  <c r="O25" i="3"/>
  <c r="S24" i="3"/>
  <c r="P24" i="3"/>
  <c r="O24" i="3"/>
  <c r="Q24" i="3" s="1"/>
  <c r="R24" i="3" s="1"/>
  <c r="S23" i="3"/>
  <c r="P23" i="3"/>
  <c r="O23" i="3"/>
  <c r="Q23" i="3" s="1"/>
  <c r="R23" i="3" s="1"/>
  <c r="S22" i="3"/>
  <c r="P22" i="3"/>
  <c r="Q22" i="3" s="1"/>
  <c r="R22" i="3" s="1"/>
  <c r="O22" i="3"/>
  <c r="S21" i="3"/>
  <c r="P21" i="3"/>
  <c r="Q21" i="3" s="1"/>
  <c r="R21" i="3" s="1"/>
  <c r="O21" i="3"/>
  <c r="S20" i="3"/>
  <c r="R20" i="3"/>
  <c r="Q20" i="3"/>
  <c r="P20" i="3"/>
  <c r="O20" i="3"/>
  <c r="S19" i="3"/>
  <c r="P19" i="3"/>
  <c r="O19" i="3"/>
  <c r="Q19" i="3" s="1"/>
  <c r="R19" i="3" s="1"/>
  <c r="S18" i="3"/>
  <c r="P18" i="3"/>
  <c r="O18" i="3"/>
  <c r="Q18" i="3" s="1"/>
  <c r="R18" i="3" s="1"/>
  <c r="S17" i="3"/>
  <c r="Q17" i="3"/>
  <c r="R17" i="3" s="1"/>
  <c r="P17" i="3"/>
  <c r="O17" i="3"/>
  <c r="S16" i="3"/>
  <c r="P16" i="3"/>
  <c r="O16" i="3"/>
  <c r="Q16" i="3" s="1"/>
  <c r="R16" i="3" s="1"/>
  <c r="S15" i="3"/>
  <c r="P15" i="3"/>
  <c r="O15" i="3"/>
  <c r="Q15" i="3" s="1"/>
  <c r="R15" i="3" s="1"/>
  <c r="S14" i="3"/>
  <c r="P14" i="3"/>
  <c r="Q14" i="3" s="1"/>
  <c r="R14" i="3" s="1"/>
  <c r="O14" i="3"/>
  <c r="S13" i="3"/>
  <c r="P13" i="3"/>
  <c r="Q13" i="3" s="1"/>
  <c r="R13" i="3" s="1"/>
  <c r="O13" i="3"/>
  <c r="S12" i="3"/>
  <c r="R12" i="3"/>
  <c r="Q12" i="3"/>
  <c r="P12" i="3"/>
  <c r="O12" i="3"/>
  <c r="S11" i="3"/>
  <c r="P11" i="3"/>
  <c r="O11" i="3"/>
  <c r="Q11" i="3" s="1"/>
  <c r="R11" i="3" s="1"/>
  <c r="S10" i="3"/>
  <c r="P10" i="3"/>
  <c r="O10" i="3"/>
  <c r="Q10" i="3" s="1"/>
  <c r="R10" i="3" s="1"/>
  <c r="S9" i="3"/>
  <c r="Q9" i="3"/>
  <c r="R9" i="3" s="1"/>
  <c r="P9" i="3"/>
  <c r="O9" i="3"/>
  <c r="S8" i="3"/>
  <c r="P8" i="3"/>
  <c r="O8" i="3"/>
  <c r="Q8" i="3" s="1"/>
  <c r="R8" i="3" s="1"/>
  <c r="S7" i="3"/>
  <c r="P7" i="3"/>
  <c r="O7" i="3"/>
  <c r="Q7" i="3" s="1"/>
  <c r="R7" i="3" s="1"/>
  <c r="S6" i="3"/>
  <c r="P6" i="3"/>
  <c r="Q6" i="3" s="1"/>
  <c r="R6" i="3" s="1"/>
  <c r="O6" i="3"/>
  <c r="S5" i="3"/>
  <c r="P5" i="3"/>
  <c r="Q5" i="3" s="1"/>
  <c r="R5" i="3" s="1"/>
  <c r="O5" i="3"/>
  <c r="S4" i="3"/>
  <c r="R4" i="3"/>
  <c r="Q4" i="3"/>
  <c r="P4" i="3"/>
  <c r="O4" i="3"/>
  <c r="S3" i="3"/>
  <c r="P3" i="3"/>
  <c r="O3" i="3"/>
  <c r="Q3" i="3" s="1"/>
  <c r="R3" i="3" s="1"/>
  <c r="S2" i="3"/>
  <c r="P2" i="3"/>
  <c r="O2" i="3"/>
  <c r="L52" i="4" s="1"/>
  <c r="I11" i="5"/>
  <c r="I9" i="5"/>
  <c r="I7" i="5"/>
  <c r="Q51" i="3" l="1"/>
  <c r="R51" i="3" s="1"/>
  <c r="Q2" i="3"/>
  <c r="R2"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1CA6BC-F061-4698-A3B5-236F183AA2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C67846D-4ECF-4E9F-A8C0-0D2686D244E2}" name="WorksheetConnection_AasthaKumari_Vaishnani_ExcelDashboard.xlsx!SalesMaster" type="102" refreshedVersion="8" minRefreshableVersion="5">
    <extLst>
      <ext xmlns:x15="http://schemas.microsoft.com/office/spreadsheetml/2010/11/main" uri="{DE250136-89BD-433C-8126-D09CA5730AF9}">
        <x15:connection id="SalesMaster" autoDelete="1">
          <x15:rangePr sourceName="_xlcn.WorksheetConnection_AasthaKumari_Vaishnani_ExcelDashboard.xlsxSalesMaster1"/>
        </x15:connection>
      </ext>
    </extLst>
  </connection>
</connections>
</file>

<file path=xl/sharedStrings.xml><?xml version="1.0" encoding="utf-8"?>
<sst xmlns="http://schemas.openxmlformats.org/spreadsheetml/2006/main" count="2187" uniqueCount="98">
  <si>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</si>
  <si>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</si>
  <si>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</si>
  <si>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</si>
  <si>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</si>
  <si>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</si>
  <si>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</si>
  <si>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</si>
  <si>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</si>
  <si>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</si>
  <si>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</si>
  <si>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</si>
  <si>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</si>
  <si>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</si>
  <si>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Eve</t>
  </si>
  <si>
    <t>North</t>
  </si>
  <si>
    <t>Clothing</t>
  </si>
  <si>
    <t>Returning</t>
  </si>
  <si>
    <t>Cash</t>
  </si>
  <si>
    <t>Online</t>
  </si>
  <si>
    <t>North-Eve</t>
  </si>
  <si>
    <t>Charlie</t>
  </si>
  <si>
    <t>New</t>
  </si>
  <si>
    <t>Credit Card</t>
  </si>
  <si>
    <t>North-Charlie</t>
  </si>
  <si>
    <t>South</t>
  </si>
  <si>
    <t>Furniture</t>
  </si>
  <si>
    <t>Bank Transfer</t>
  </si>
  <si>
    <t>Retail</t>
  </si>
  <si>
    <t>South-Eve</t>
  </si>
  <si>
    <t>David</t>
  </si>
  <si>
    <t>Electronics</t>
  </si>
  <si>
    <t>South-David</t>
  </si>
  <si>
    <t>West</t>
  </si>
  <si>
    <t>West-David</t>
  </si>
  <si>
    <t>Bob</t>
  </si>
  <si>
    <t>East</t>
  </si>
  <si>
    <t>East-Bob</t>
  </si>
  <si>
    <t>East-Charlie</t>
  </si>
  <si>
    <t>East-Eve</t>
  </si>
  <si>
    <t>South-Bob</t>
  </si>
  <si>
    <t>Food</t>
  </si>
  <si>
    <t>Alice</t>
  </si>
  <si>
    <t>East-Alice</t>
  </si>
  <si>
    <t>North-Bob</t>
  </si>
  <si>
    <t>West-Eve</t>
  </si>
  <si>
    <t>East-David</t>
  </si>
  <si>
    <t>North-Alice</t>
  </si>
  <si>
    <t>West-Charlie</t>
  </si>
  <si>
    <t>South-Alice</t>
  </si>
  <si>
    <t>West-Alice</t>
  </si>
  <si>
    <t>South-Charlie</t>
  </si>
  <si>
    <t>West-Bob</t>
  </si>
  <si>
    <t>North-David</t>
  </si>
  <si>
    <t>Total_Cost</t>
  </si>
  <si>
    <t>Net Profit</t>
  </si>
  <si>
    <t>Total_Sales</t>
  </si>
  <si>
    <t>Profit_Margin</t>
  </si>
  <si>
    <t>Month</t>
  </si>
  <si>
    <t>Row Labels</t>
  </si>
  <si>
    <t>Jan</t>
  </si>
  <si>
    <t>Feb</t>
  </si>
  <si>
    <t>Mar</t>
  </si>
  <si>
    <t>Apr</t>
  </si>
  <si>
    <t>Grand Total</t>
  </si>
  <si>
    <t>Sum of Total_Sales</t>
  </si>
  <si>
    <t>Sum of Net Profit</t>
  </si>
  <si>
    <t xml:space="preserve">Product_ID </t>
  </si>
  <si>
    <t>SEARCH TOOL ENGINE</t>
  </si>
  <si>
    <t>Category</t>
  </si>
  <si>
    <t>REGIONAL SALES ANALYSIS</t>
  </si>
  <si>
    <t>Select Region:</t>
  </si>
  <si>
    <t>Select Category:</t>
  </si>
  <si>
    <t>Total Result:</t>
  </si>
  <si>
    <t>PERFORMANCE THRESHOLDS</t>
  </si>
  <si>
    <t>Metric</t>
  </si>
  <si>
    <t>Threshold</t>
  </si>
  <si>
    <t>Grade</t>
  </si>
  <si>
    <t>High</t>
  </si>
  <si>
    <t>&gt; 15%</t>
  </si>
  <si>
    <t>Excellent</t>
  </si>
  <si>
    <t>Mid</t>
  </si>
  <si>
    <t>&gt; 5%</t>
  </si>
  <si>
    <t>Average</t>
  </si>
  <si>
    <t>Low</t>
  </si>
  <si>
    <t>&lt; 5%</t>
  </si>
  <si>
    <t>Needs Improvement</t>
  </si>
  <si>
    <t>DYNAMIC ENGINE CONFIGURATION</t>
  </si>
  <si>
    <t>Total Rows Active:</t>
  </si>
  <si>
    <t>TOTAL REVENUE   :</t>
  </si>
  <si>
    <t>NET PROFIT            :</t>
  </si>
  <si>
    <t>ITEMS SOLD           :</t>
  </si>
  <si>
    <t>Performance_Grade</t>
  </si>
  <si>
    <t>Count of Sales_Rep</t>
  </si>
  <si>
    <t>PERFORMANCE CRITERIA</t>
  </si>
  <si>
    <r>
      <t>Excellent:</t>
    </r>
    <r>
      <rPr>
        <sz val="12"/>
        <color theme="1"/>
        <rFont val="Calibri"/>
        <family val="2"/>
        <scheme val="minor"/>
      </rPr>
      <t xml:space="preserve"> Profit Margin &gt;= 15%</t>
    </r>
  </si>
  <si>
    <r>
      <t>Average:</t>
    </r>
    <r>
      <rPr>
        <sz val="12"/>
        <color theme="1"/>
        <rFont val="Calibri"/>
        <family val="2"/>
        <scheme val="minor"/>
      </rPr>
      <t xml:space="preserve"> Profit Margin &gt;= 5%</t>
    </r>
  </si>
  <si>
    <r>
      <t>Improvement Needed:</t>
    </r>
    <r>
      <rPr>
        <sz val="12"/>
        <color theme="1"/>
        <rFont val="Calibri"/>
        <family val="2"/>
        <scheme val="minor"/>
      </rPr>
      <t xml:space="preserve"> Profit Margin &lt; 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</si>
</sst>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10">
    <font>
      <sz val="11"/>
      <color theme="1"/>
      <name val="Calibri"/>
      <family val="2"/>
      <scheme val="minor"/>
    </font>
    <font>
      <sz val="11"/>
      <color theme="0"/>
      <name val="Calibri"/>
      <family val="2"/>
      <scheme val="minor"/>
    </font>
    <font>
      <sz val="10"/>
      <color theme="1"/>
      <name val="Arial Unicode MS"/>
    </font>
    <font>
      <sz val="11"/>
      <color rgb="FF1F1F1F"/>
      <name val="Calibri"/>
      <family val="2"/>
      <scheme val="minor"/>
    </font>
    <font>
      <i/>
      <sz val="14"/>
      <color theme="1"/>
      <name val="Arial Narrow"/>
      <family val="2"/>
    </font>
    <font>
      <sz val="10"/>
      <color theme="0"/>
      <name val="Arial Unicode MS"/>
    </font>
    <font>
      <sz val="12"/>
      <color theme="1"/>
      <name val="Calibri"/>
      <family val="2"/>
      <scheme val="minor"/>
    </font>
    <font>
      <sz val="14"/>
      <color theme="1"/>
      <name val="Calibri"/>
      <family val="2"/>
      <scheme val="minor"/>
    </font>
    <font>
      <b/>
      <sz val="12"/>
      <color theme="1"/>
      <name val="Calibri"/>
      <family val="2"/>
      <scheme val="minor"/>
    </font>
    <font>
      <sz val="10"/>
      <color theme="1"/>
      <name val="Arial"/>
      <family val="2"/>
    </font>
  </fonts>
  <fills count="4">
    <fill>
      <patternFill patternType="none"/>
    </fill>
    <fill>
      <patternFill patternType="gray125"/>
    </fill>
    <fill>
      <patternFill patternType="solid">
        <fgColor rgb="FFE1E5F3"/>
        <bgColor indexed="64"/>
      </patternFill>
    </fill>
    <fill>
      <patternFill patternType="solid">
        <fgColor theme="3" tint="0.39997558519241921"/>
        <bgColor indexed="64"/>
      </patternFill>
    </fill>
  </fills>
  <borders count="1">
    <border>
      <left/>
      <right/>
      <top/>
      <bottom/>
      <diagonal/>
    </border>
  </borders>
  <cellStyleXfs count="1">
    <xf numFmtId="0" fontId="0" fillId="0" borderId="0"/>
  </cellStyleXfs>
  <cellXfs count="20">
    <xf numFmtId="0" fontId="0" fillId="0" borderId="0" xfId="0"/>
    <xf numFmtId="10" fontId="0" fillId="0" borderId="0" xfId="0" applyNumberFormat="1"/>
    <xf numFmtId="14" fontId="0" fillId="0" borderId="0" xfId="0" applyNumberFormat="1"/>
    <xf numFmtId="0" fontId="2" fillId="0" borderId="0" xfId="0" applyFont="1"/>
    <xf numFmtId="0" fontId="0" fillId="0" borderId="0" xfId="0" pivotButton="1"/>
    <xf numFmtId="0" fontId="0" fillId="0" borderId="0" xfId="0" applyAlignment="1">
      <alignment horizontal="left"/>
    </xf>
    <xf numFmtId="44" fontId="0" fillId="0" borderId="0" xfId="0" applyNumberFormat="1"/>
    <xf numFmtId="44" fontId="2" fillId="0" borderId="0" xfId="0" applyNumberFormat="1" applyFont="1"/>
    <xf numFmtId="0" fontId="3" fillId="0" borderId="0" xfId="0" applyFont="1" applyAlignment="1">
      <alignment horizontal="left" vertical="center" wrapText="1" indent="1" readingOrder="1"/>
    </xf>
    <xf numFmtId="0" fontId="3" fillId="0" borderId="0" xfId="0" applyFont="1" applyAlignment="1">
      <alignment vertical="center" wrapText="1" readingOrder="1"/>
    </xf>
    <xf numFmtId="0" fontId="0" fillId="2" borderId="0" xfId="0" applyFill="1"/>
    <xf numFmtId="0" fontId="4" fillId="2" borderId="0" xfId="0" applyFont="1" applyFill="1"/>
    <xf numFmtId="44" fontId="4" fillId="2" borderId="0" xfId="0" applyNumberFormat="1" applyFont="1" applyFill="1"/>
    <xf numFmtId="44" fontId="0" fillId="2" borderId="0" xfId="0" applyNumberFormat="1" applyFill="1"/>
    <xf numFmtId="0" fontId="1" fillId="0" borderId="0" xfId="0" applyFont="1"/>
    <xf numFmtId="0" fontId="7" fillId="2" borderId="0" xfId="0" applyFont="1" applyFill="1"/>
    <xf numFmtId="0" fontId="8" fillId="2" borderId="0" xfId="0" applyFont="1" applyFill="1"/>
    <xf numFmtId="0" fontId="1" fillId="3" borderId="0" xfId="0" applyFont="1" applyFill="1" applyAlignment="1">
      <alignment horizontal="center"/>
    </xf>
    <xf numFmtId="0" fontId="5" fillId="3" borderId="0" xfId="0" applyFont="1" applyFill="1" applyAlignment="1">
      <alignment horizontal="center"/>
    </xf>
    <xf numFmtId="0" fontId="9" fillId="2" borderId="0" xfId="0" applyFont="1" applyFill="1"/>
  </cellXfs>
  <cellStyles count="1">
    <cellStyle name="Normal" xfId="0" builtinId="0"/>
  </cellStyles>
  <dxfs count="8">
    <dxf>
      <font>
        <color rgb="FF9C0006"/>
      </font>
      <fill>
        <patternFill>
          <bgColor rgb="FFFFC7CE"/>
        </patternFill>
      </fill>
    </dxf>
    <dxf>
      <numFmt numFmtId="34" formatCode="_ &quot;₹&quot;\ * #,##0.00_ ;_ &quot;₹&quot;\ * \-#,##0.00_ ;_ &quot;₹&quot;\ * &quot;-&quot;??_ ;_ @_ "/>
    </dxf>
    <dxf>
      <numFmt numFmtId="0" formatCode="General"/>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9" formatCode="dd/mm/yyyy"/>
    </dxf>
  </dxfs>
  <tableStyles count="0" defaultTableStyle="TableStyleMedium2" defaultPivotStyle="PivotStyleLight16"/>
  <colors>
    <mruColors>
      <color rgb="FFE1E5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[AasthaKumari_Vaishnani_ExcelDashboard.xlsx]Visualization!PivotTable1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Visualization!$B$14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Visualization!$A$15:$A$19</c:f>
              <c:strCache>
                <c:ptCount val="4"/>
                <c:pt idx="0">
                  <c:v>Jan</c:v>
                </c:pt>
                <c:pt idx="1">
                  <c:v>Feb</c:v>
                </c:pt>
                <c:pt idx="2">
                  <c:v>Mar</c:v>
                </c:pt>
                <c:pt idx="3">
                  <c:v>Apr</c:v>
                </c:pt>
              </c:strCache>
            </c:strRef>
          </c:cat>
          <c:val>
            <c:numRef>
              <c:f>Visualization!$B$15:$B$19</c:f>
              <c:numCache>
                <c:formatCode>General</c:formatCode>
                <c:ptCount val="4"/>
                <c:pt idx="0">
                  <c:v>12247840.560000001</c:v>
                </c:pt>
                <c:pt idx="1">
                  <c:v>9480441.6700000018</c:v>
                </c:pt>
                <c:pt idx="2">
                  <c:v>10403175.799999999</c:v>
                </c:pt>
                <c:pt idx="3">
                  <c:v>5514085.1100000022</c:v>
                </c:pt>
              </c:numCache>
            </c:numRef>
          </c:val>
          <c:smooth val="0"/>
          <c:extLst>
            <c:ext xmlns:c16="http://schemas.microsoft.com/office/drawing/2014/chart" uri="{C3380CC4-5D6E-409C-BE32-E72D297353CC}">
              <c16:uniqueId val="{00000000-613B-4E7D-B700-E6C24A8FC1DE}"/>
            </c:ext>
          </c:extLst>
        </c:ser>
        <c:dLbls>
          <c:showLegendKey val="0"/>
          <c:showVal val="0"/>
          <c:showCatName val="0"/>
          <c:showSerName val="0"/>
          <c:showPercent val="0"/>
          <c:showBubbleSize val="0"/>
        </c:dLbls>
        <c:marker val="1"/>
        <c:smooth val="0"/>
        <c:axId val="1514026528"/>
        <c:axId val="1276816752"/>
      </c:lineChart>
      <c:catAx>
        <c:axId val="151402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816752"/>
        <c:crosses val="autoZero"/>
        <c:auto val="1"/>
        <c:lblAlgn val="ctr"/>
        <c:lblOffset val="100"/>
        <c:noMultiLvlLbl val="0"/>
      </c:catAx>
      <c:valAx>
        <c:axId val="127681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02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[AasthaKumari_Vaishnani_ExcelDashboard.xlsx]Visualization!PivotTable2</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t>Profit Distribution by Category</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Visualization!$I$14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C9F-482B-B475-5857D9CE2CA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C9F-482B-B475-5857D9CE2CA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C9F-482B-B475-5857D9CE2CA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C9F-482B-B475-5857D9CE2CA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Visualization!$H$15:$H$19</c:f>
              <c:strCache>
                <c:ptCount val="4"/>
                <c:pt idx="0">
                  <c:v>Clothing</c:v>
                </c:pt>
                <c:pt idx="1">
                  <c:v>Electronics</c:v>
                </c:pt>
                <c:pt idx="2">
                  <c:v>Food</c:v>
                </c:pt>
                <c:pt idx="3">
                  <c:v>Furniture</c:v>
                </c:pt>
              </c:strCache>
            </c:strRef>
          </c:cat>
          <c:val>
            <c:numRef>
              <c:f>Visualization!$I$15:$I$19</c:f>
              <c:numCache>
                <c:formatCode>General</c:formatCode>
                <c:ptCount val="4"/>
                <c:pt idx="0">
                  <c:v>4483094.3000000007</c:v>
                </c:pt>
                <c:pt idx="1">
                  <c:v>3747275.0500000007</c:v>
                </c:pt>
                <c:pt idx="2">
                  <c:v>4204797.209999999</c:v>
                </c:pt>
                <c:pt idx="3">
                  <c:v>5050713.6399999997</c:v>
                </c:pt>
              </c:numCache>
            </c:numRef>
          </c:val>
          <c:extLst>
            <c:ext xmlns:c16="http://schemas.microsoft.com/office/drawing/2014/chart" uri="{C3380CC4-5D6E-409C-BE32-E72D297353CC}">
              <c16:uniqueId val="{00000008-8C9F-482B-B475-5857D9CE2CA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[AasthaKumari_Vaishnani_ExcelDashboard.xlsx]Visualization!PivotTable1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Visualization!$B$14</c:f>
              <c:strCache>
                <c:ptCount val="1"/>
                <c:pt idx="0">
                  <c:v>Total</c:v>
                </c:pt>
              </c:strCache>
            </c:strRef>
          </c:tx>
          <c:spPr>
            <a:solidFill>
              <a:schemeClr val="accent1"/>
            </a:solidFill>
            <a:ln>
              <a:noFill/>
            </a:ln>
            <a:effectLst/>
          </c:spPr>
          <c:invertIfNegative val="0"/>
          <c:cat>
            <c:strRef>
              <c:f>Visualization!$A$15:$A$19</c:f>
              <c:strCache>
                <c:ptCount val="4"/>
                <c:pt idx="0">
                  <c:v>Jan</c:v>
                </c:pt>
                <c:pt idx="1">
                  <c:v>Feb</c:v>
                </c:pt>
                <c:pt idx="2">
                  <c:v>Mar</c:v>
                </c:pt>
                <c:pt idx="3">
                  <c:v>Apr</c:v>
                </c:pt>
              </c:strCache>
            </c:strRef>
          </c:cat>
          <c:val>
            <c:numRef>
              <c:f>Visualization!$B$15:$B$19</c:f>
              <c:numCache>
                <c:formatCode>General</c:formatCode>
                <c:ptCount val="4"/>
                <c:pt idx="0">
                  <c:v>12247840.560000001</c:v>
                </c:pt>
                <c:pt idx="1">
                  <c:v>9480441.6700000018</c:v>
                </c:pt>
                <c:pt idx="2">
                  <c:v>10403175.799999999</c:v>
                </c:pt>
                <c:pt idx="3">
                  <c:v>5514085.1100000022</c:v>
                </c:pt>
              </c:numCache>
            </c:numRef>
          </c:val>
          <c:extLst>
            <c:ext xmlns:c16="http://schemas.microsoft.com/office/drawing/2014/chart" uri="{C3380CC4-5D6E-409C-BE32-E72D297353CC}">
              <c16:uniqueId val="{00000000-4CC9-4EEA-8505-2A2C0E3AC43B}"/>
            </c:ext>
          </c:extLst>
        </c:ser>
        <c:dLbls>
          <c:showLegendKey val="0"/>
          <c:showVal val="0"/>
          <c:showCatName val="0"/>
          <c:showSerName val="0"/>
          <c:showPercent val="0"/>
          <c:showBubbleSize val="0"/>
        </c:dLbls>
        <c:gapWidth val="219"/>
        <c:axId val="111357440"/>
        <c:axId val="111341120"/>
      </c:barChart>
      <c:catAx>
        <c:axId val="11135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41120"/>
        <c:crosses val="autoZero"/>
        <c:auto val="1"/>
        <c:lblAlgn val="ctr"/>
        <c:lblOffset val="100"/>
        <c:noMultiLvlLbl val="0"/>
      </c:catAx>
      <c:valAx>
        <c:axId val="111341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5744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[AasthaKumari_Vaishnani_ExcelDashboard.xlsx]Visualization!PivotTable4</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Visualization!$I$30</c:f>
              <c:strCache>
                <c:ptCount val="1"/>
                <c:pt idx="0">
                  <c:v>Sum of Total_Sales</c:v>
                </c:pt>
              </c:strCache>
            </c:strRef>
          </c:tx>
          <c:spPr>
            <a:solidFill>
              <a:schemeClr val="accent1"/>
            </a:solidFill>
            <a:ln>
              <a:noFill/>
            </a:ln>
            <a:effectLst/>
          </c:spPr>
          <c:invertIfNegative val="0"/>
          <c:cat>
            <c:strRef>
              <c:f>Visualization!$H$31:$H$35</c:f>
              <c:strCache>
                <c:ptCount val="4"/>
                <c:pt idx="0">
                  <c:v>East</c:v>
                </c:pt>
                <c:pt idx="1">
                  <c:v>North</c:v>
                </c:pt>
                <c:pt idx="2">
                  <c:v>South</c:v>
                </c:pt>
                <c:pt idx="3">
                  <c:v>West</c:v>
                </c:pt>
              </c:strCache>
            </c:strRef>
          </c:cat>
          <c:val>
            <c:numRef>
              <c:f>Visualization!$I$31:$I$35</c:f>
              <c:numCache>
                <c:formatCode>General</c:formatCode>
                <c:ptCount val="4"/>
                <c:pt idx="0">
                  <c:v>10042229.010000002</c:v>
                </c:pt>
                <c:pt idx="1">
                  <c:v>9224609.9799999986</c:v>
                </c:pt>
                <c:pt idx="2">
                  <c:v>9751682.4500000011</c:v>
                </c:pt>
                <c:pt idx="3">
                  <c:v>8627021.7000000011</c:v>
                </c:pt>
              </c:numCache>
            </c:numRef>
          </c:val>
          <c:extLst>
            <c:ext xmlns:c16="http://schemas.microsoft.com/office/drawing/2014/chart" uri="{C3380CC4-5D6E-409C-BE32-E72D297353CC}">
              <c16:uniqueId val="{00000000-1D02-4F9A-9191-7484447520B8}"/>
            </c:ext>
          </c:extLst>
        </c:ser>
        <c:ser>
          <c:idx val="1"/>
          <c:order val="1"/>
          <c:tx>
            <c:strRef>
              <c:f>Visualization!$J$30</c:f>
              <c:strCache>
                <c:ptCount val="1"/>
                <c:pt idx="0">
                  <c:v>Sum of Net Profit</c:v>
                </c:pt>
              </c:strCache>
            </c:strRef>
          </c:tx>
          <c:spPr>
            <a:solidFill>
              <a:schemeClr val="accent2"/>
            </a:solidFill>
            <a:ln>
              <a:noFill/>
            </a:ln>
            <a:effectLst/>
          </c:spPr>
          <c:invertIfNegative val="0"/>
          <c:cat>
            <c:strRef>
              <c:f>Visualization!$H$31:$H$35</c:f>
              <c:strCache>
                <c:ptCount val="4"/>
                <c:pt idx="0">
                  <c:v>East</c:v>
                </c:pt>
                <c:pt idx="1">
                  <c:v>North</c:v>
                </c:pt>
                <c:pt idx="2">
                  <c:v>South</c:v>
                </c:pt>
                <c:pt idx="3">
                  <c:v>West</c:v>
                </c:pt>
              </c:strCache>
            </c:strRef>
          </c:cat>
          <c:val>
            <c:numRef>
              <c:f>Visualization!$J$31:$J$35</c:f>
              <c:numCache>
                <c:formatCode>General</c:formatCode>
                <c:ptCount val="4"/>
                <c:pt idx="0">
                  <c:v>3694977.42</c:v>
                </c:pt>
                <c:pt idx="1">
                  <c:v>4556888.8499999996</c:v>
                </c:pt>
                <c:pt idx="2">
                  <c:v>5309849.0799999991</c:v>
                </c:pt>
                <c:pt idx="3">
                  <c:v>3924164.850000001</c:v>
                </c:pt>
              </c:numCache>
            </c:numRef>
          </c:val>
          <c:extLst>
            <c:ext xmlns:c16="http://schemas.microsoft.com/office/drawing/2014/chart" uri="{C3380CC4-5D6E-409C-BE32-E72D297353CC}">
              <c16:uniqueId val="{00000001-1D02-4F9A-9191-7484447520B8}"/>
            </c:ext>
          </c:extLst>
        </c:ser>
        <c:dLbls>
          <c:showLegendKey val="0"/>
          <c:showVal val="0"/>
          <c:showCatName val="0"/>
          <c:showSerName val="0"/>
          <c:showPercent val="0"/>
          <c:showBubbleSize val="0"/>
        </c:dLbls>
        <c:gapWidth val="219"/>
        <c:overlap val="-27"/>
        <c:axId val="111316640"/>
        <c:axId val="111317120"/>
      </c:barChart>
      <c:catAx>
        <c:axId val="11131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17120"/>
        <c:crosses val="autoZero"/>
        <c:auto val="1"/>
        <c:lblAlgn val="ctr"/>
        <c:lblOffset val="100"/>
        <c:noMultiLvlLbl val="0"/>
      </c:catAx>
      <c:valAx>
        <c:axId val="11131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1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[AasthaKumari_Vaishnani_ExcelDashboard.xlsx]Visualization!PivotTable8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Performance</a:t>
            </a:r>
          </a:p>
        </c:rich>
      </c:tx>
      <c:layout>
        <c:manualLayout>
          <c:xMode val="edge"/>
          <c:yMode val="edge"/>
          <c:x val="0.39342493438320209"/>
          <c:y val="0.1101312335958005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03"/>
          <c:y val="0.3517564304461942"/>
          <c:w val="0.65333333333333332"/>
          <c:h val="0.45713245844269468"/>
        </c:manualLayout>
      </c:layout>
      <c:pie3DChart>
        <c:varyColors val="1"/>
        <c:ser>
          <c:idx val="0"/>
          <c:order val="0"/>
          <c:tx>
            <c:strRef>
              <c:f>Visualization!$I$3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D15-42B0-A862-2215803AB26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D15-42B0-A862-2215803AB26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D15-42B0-A862-2215803AB2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Visualization!$H$4:$H$7</c:f>
              <c:strCache>
                <c:ptCount val="3"/>
                <c:pt idx="0">
                  <c:v>Average</c:v>
                </c:pt>
                <c:pt idx="1">
                  <c:v>Excellent</c:v>
                </c:pt>
                <c:pt idx="2">
                  <c:v>Needs Improvement</c:v>
                </c:pt>
              </c:strCache>
            </c:strRef>
          </c:cat>
          <c:val>
            <c:numRef>
              <c:f>Visualization!$I$4:$I$7</c:f>
              <c:numCache>
                <c:formatCode>General</c:formatCode>
                <c:ptCount val="3"/>
                <c:pt idx="0">
                  <c:v>10</c:v>
                </c:pt>
                <c:pt idx="1">
                  <c:v>214</c:v>
                </c:pt>
                <c:pt idx="2">
                  <c:v>76</c:v>
                </c:pt>
              </c:numCache>
            </c:numRef>
          </c:val>
          <c:extLst>
            <c:ext xmlns:c16="http://schemas.microsoft.com/office/drawing/2014/chart" uri="{C3380CC4-5D6E-409C-BE32-E72D297353CC}">
              <c16:uniqueId val="{00000006-AD15-42B0-A862-2215803AB26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[AasthaKumari_Vaishnani_ExcelDashboard.xlsx]Visualization!PivotTable1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Visualization!$B$14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Visualization!$A$15:$A$19</c:f>
              <c:strCache>
                <c:ptCount val="4"/>
                <c:pt idx="0">
                  <c:v>Jan</c:v>
                </c:pt>
                <c:pt idx="1">
                  <c:v>Feb</c:v>
                </c:pt>
                <c:pt idx="2">
                  <c:v>Mar</c:v>
                </c:pt>
                <c:pt idx="3">
                  <c:v>Apr</c:v>
                </c:pt>
              </c:strCache>
            </c:strRef>
          </c:cat>
          <c:val>
            <c:numRef>
              <c:f>Visualization!$B$15:$B$19</c:f>
              <c:numCache>
                <c:formatCode>General</c:formatCode>
                <c:ptCount val="4"/>
                <c:pt idx="0">
                  <c:v>12247840.560000001</c:v>
                </c:pt>
                <c:pt idx="1">
                  <c:v>9480441.6700000018</c:v>
                </c:pt>
                <c:pt idx="2">
                  <c:v>10403175.799999999</c:v>
                </c:pt>
                <c:pt idx="3">
                  <c:v>5514085.1100000022</c:v>
                </c:pt>
              </c:numCache>
            </c:numRef>
          </c:val>
          <c:smooth val="0"/>
          <c:extLst>
            <c:ext xmlns:c16="http://schemas.microsoft.com/office/drawing/2014/chart" uri="{C3380CC4-5D6E-409C-BE32-E72D297353CC}">
              <c16:uniqueId val="{00000000-A425-4A19-9338-47A14C25F4F9}"/>
            </c:ext>
          </c:extLst>
        </c:ser>
        <c:dLbls>
          <c:showLegendKey val="0"/>
          <c:showVal val="0"/>
          <c:showCatName val="0"/>
          <c:showSerName val="0"/>
          <c:showPercent val="0"/>
          <c:showBubbleSize val="0"/>
        </c:dLbls>
        <c:marker val="1"/>
        <c:smooth val="0"/>
        <c:axId val="1514026528"/>
        <c:axId val="1276816752"/>
      </c:lineChart>
      <c:catAx>
        <c:axId val="151402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816752"/>
        <c:crosses val="autoZero"/>
        <c:auto val="1"/>
        <c:lblAlgn val="ctr"/>
        <c:lblOffset val="100"/>
        <c:noMultiLvlLbl val="0"/>
      </c:catAx>
      <c:valAx>
        <c:axId val="127681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02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[AasthaKumari_Vaishnani_ExcelDashboard.xlsx]Visualization!PivotTable2</c:name>
    <c:fmtId val="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t>Profit Distribution by Category</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Visualization!$I$14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464-41FF-9EBE-13257143A1A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464-41FF-9EBE-13257143A1A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464-41FF-9EBE-13257143A1A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464-41FF-9EBE-13257143A1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Visualization!$H$15:$H$19</c:f>
              <c:strCache>
                <c:ptCount val="4"/>
                <c:pt idx="0">
                  <c:v>Clothing</c:v>
                </c:pt>
                <c:pt idx="1">
                  <c:v>Electronics</c:v>
                </c:pt>
                <c:pt idx="2">
                  <c:v>Food</c:v>
                </c:pt>
                <c:pt idx="3">
                  <c:v>Furniture</c:v>
                </c:pt>
              </c:strCache>
            </c:strRef>
          </c:cat>
          <c:val>
            <c:numRef>
              <c:f>Visualization!$I$15:$I$19</c:f>
              <c:numCache>
                <c:formatCode>General</c:formatCode>
                <c:ptCount val="4"/>
                <c:pt idx="0">
                  <c:v>4483094.3000000007</c:v>
                </c:pt>
                <c:pt idx="1">
                  <c:v>3747275.0500000007</c:v>
                </c:pt>
                <c:pt idx="2">
                  <c:v>4204797.209999999</c:v>
                </c:pt>
                <c:pt idx="3">
                  <c:v>5050713.6399999997</c:v>
                </c:pt>
              </c:numCache>
            </c:numRef>
          </c:val>
          <c:extLst>
            <c:ext xmlns:c16="http://schemas.microsoft.com/office/drawing/2014/chart" uri="{C3380CC4-5D6E-409C-BE32-E72D297353CC}">
              <c16:uniqueId val="{00000000-A7E8-417F-8BC2-AFD4F621524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[AasthaKumari_Vaishnani_ExcelDashboard.xlsx]Visualization!PivotTable3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Visualization!$B$30</c:f>
              <c:strCache>
                <c:ptCount val="1"/>
                <c:pt idx="0">
                  <c:v>Total</c:v>
                </c:pt>
              </c:strCache>
            </c:strRef>
          </c:tx>
          <c:spPr>
            <a:solidFill>
              <a:schemeClr val="accent1"/>
            </a:solidFill>
            <a:ln>
              <a:noFill/>
            </a:ln>
            <a:effectLst/>
          </c:spPr>
          <c:invertIfNegative val="0"/>
          <c:cat>
            <c:strRef>
              <c:f>Visualization!$A$31:$A$36</c:f>
              <c:strCache>
                <c:ptCount val="5"/>
                <c:pt idx="0">
                  <c:v>Alice</c:v>
                </c:pt>
                <c:pt idx="1">
                  <c:v>Bob</c:v>
                </c:pt>
                <c:pt idx="2">
                  <c:v>Charlie</c:v>
                </c:pt>
                <c:pt idx="3">
                  <c:v>David</c:v>
                </c:pt>
                <c:pt idx="4">
                  <c:v>Eve</c:v>
                </c:pt>
              </c:strCache>
            </c:strRef>
          </c:cat>
          <c:val>
            <c:numRef>
              <c:f>Visualization!$B$31:$B$36</c:f>
              <c:numCache>
                <c:formatCode>General</c:formatCode>
                <c:ptCount val="5"/>
                <c:pt idx="0">
                  <c:v>6855560.5100000007</c:v>
                </c:pt>
                <c:pt idx="1">
                  <c:v>7270146.0199999986</c:v>
                </c:pt>
                <c:pt idx="2">
                  <c:v>7085393.2899999972</c:v>
                </c:pt>
                <c:pt idx="3">
                  <c:v>7275262.2199999988</c:v>
                </c:pt>
                <c:pt idx="4">
                  <c:v>9159181.0999999996</c:v>
                </c:pt>
              </c:numCache>
            </c:numRef>
          </c:val>
          <c:extLst>
            <c:ext xmlns:c16="http://schemas.microsoft.com/office/drawing/2014/chart" uri="{C3380CC4-5D6E-409C-BE32-E72D297353CC}">
              <c16:uniqueId val="{00000000-4C55-4C22-8023-F10129C22D63}"/>
            </c:ext>
          </c:extLst>
        </c:ser>
        <c:dLbls>
          <c:showLegendKey val="0"/>
          <c:showVal val="0"/>
          <c:showCatName val="0"/>
          <c:showSerName val="0"/>
          <c:showPercent val="0"/>
          <c:showBubbleSize val="0"/>
        </c:dLbls>
        <c:gapWidth val="219"/>
        <c:axId val="111357440"/>
        <c:axId val="111341120"/>
      </c:barChart>
      <c:catAx>
        <c:axId val="11135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41120"/>
        <c:crosses val="autoZero"/>
        <c:auto val="1"/>
        <c:lblAlgn val="ctr"/>
        <c:lblOffset val="100"/>
        <c:noMultiLvlLbl val="0"/>
      </c:catAx>
      <c:valAx>
        <c:axId val="111341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5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[AasthaKumari_Vaishnani_ExcelDashboard.xlsx]Visualization!PivotTable4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Visualization!$I$30</c:f>
              <c:strCache>
                <c:ptCount val="1"/>
                <c:pt idx="0">
                  <c:v>Sum of Total_Sales</c:v>
                </c:pt>
              </c:strCache>
            </c:strRef>
          </c:tx>
          <c:spPr>
            <a:solidFill>
              <a:schemeClr val="accent1"/>
            </a:solidFill>
            <a:ln>
              <a:noFill/>
            </a:ln>
            <a:effectLst/>
          </c:spPr>
          <c:invertIfNegative val="0"/>
          <c:cat>
            <c:strRef>
              <c:f>Visualization!$H$31:$H$35</c:f>
              <c:strCache>
                <c:ptCount val="4"/>
                <c:pt idx="0">
                  <c:v>East</c:v>
                </c:pt>
                <c:pt idx="1">
                  <c:v>North</c:v>
                </c:pt>
                <c:pt idx="2">
                  <c:v>South</c:v>
                </c:pt>
                <c:pt idx="3">
                  <c:v>West</c:v>
                </c:pt>
              </c:strCache>
            </c:strRef>
          </c:cat>
          <c:val>
            <c:numRef>
              <c:f>Visualization!$I$31:$I$35</c:f>
              <c:numCache>
                <c:formatCode>General</c:formatCode>
                <c:ptCount val="4"/>
                <c:pt idx="0">
                  <c:v>10042229.010000002</c:v>
                </c:pt>
                <c:pt idx="1">
                  <c:v>9224609.9799999986</c:v>
                </c:pt>
                <c:pt idx="2">
                  <c:v>9751682.4500000011</c:v>
                </c:pt>
                <c:pt idx="3">
                  <c:v>8627021.7000000011</c:v>
                </c:pt>
              </c:numCache>
            </c:numRef>
          </c:val>
          <c:extLst>
            <c:ext xmlns:c16="http://schemas.microsoft.com/office/drawing/2014/chart" uri="{C3380CC4-5D6E-409C-BE32-E72D297353CC}">
              <c16:uniqueId val="{00000000-1C7B-493F-884D-920167A99BD6}"/>
            </c:ext>
          </c:extLst>
        </c:ser>
        <c:ser>
          <c:idx val="1"/>
          <c:order val="1"/>
          <c:tx>
            <c:strRef>
              <c:f>Visualization!$J$30</c:f>
              <c:strCache>
                <c:ptCount val="1"/>
                <c:pt idx="0">
                  <c:v>Sum of Net Profit</c:v>
                </c:pt>
              </c:strCache>
            </c:strRef>
          </c:tx>
          <c:spPr>
            <a:solidFill>
              <a:schemeClr val="accent2"/>
            </a:solidFill>
            <a:ln>
              <a:noFill/>
            </a:ln>
            <a:effectLst/>
          </c:spPr>
          <c:invertIfNegative val="0"/>
          <c:cat>
            <c:strRef>
              <c:f>Visualization!$H$31:$H$35</c:f>
              <c:strCache>
                <c:ptCount val="4"/>
                <c:pt idx="0">
                  <c:v>East</c:v>
                </c:pt>
                <c:pt idx="1">
                  <c:v>North</c:v>
                </c:pt>
                <c:pt idx="2">
                  <c:v>South</c:v>
                </c:pt>
                <c:pt idx="3">
                  <c:v>West</c:v>
                </c:pt>
              </c:strCache>
            </c:strRef>
          </c:cat>
          <c:val>
            <c:numRef>
              <c:f>Visualization!$J$31:$J$35</c:f>
              <c:numCache>
                <c:formatCode>General</c:formatCode>
                <c:ptCount val="4"/>
                <c:pt idx="0">
                  <c:v>3694977.42</c:v>
                </c:pt>
                <c:pt idx="1">
                  <c:v>4556888.8499999996</c:v>
                </c:pt>
                <c:pt idx="2">
                  <c:v>5309849.0799999991</c:v>
                </c:pt>
                <c:pt idx="3">
                  <c:v>3924164.850000001</c:v>
                </c:pt>
              </c:numCache>
            </c:numRef>
          </c:val>
          <c:extLst>
            <c:ext xmlns:c16="http://schemas.microsoft.com/office/drawing/2014/chart" uri="{C3380CC4-5D6E-409C-BE32-E72D297353CC}">
              <c16:uniqueId val="{00000001-1C7B-493F-884D-920167A99BD6}"/>
            </c:ext>
          </c:extLst>
        </c:ser>
        <c:dLbls>
          <c:showLegendKey val="0"/>
          <c:showVal val="0"/>
          <c:showCatName val="0"/>
          <c:showSerName val="0"/>
          <c:showPercent val="0"/>
          <c:showBubbleSize val="0"/>
        </c:dLbls>
        <c:gapWidth val="219"/>
        <c:overlap val="-27"/>
        <c:axId val="111316640"/>
        <c:axId val="111317120"/>
      </c:barChart>
      <c:catAx>
        <c:axId val="11131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17120"/>
        <c:crosses val="autoZero"/>
        <c:auto val="1"/>
        <c:lblAlgn val="ctr"/>
        <c:lblOffset val="100"/>
        <c:noMultiLvlLbl val="0"/>
      </c:catAx>
      <c:valAx>
        <c:axId val="11131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1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[AasthaKumari_Vaishnani_ExcelDashboard.xlsx]Visualization!PivotTable8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612771295154372"/>
          <c:y val="0.58213370387525087"/>
          <c:w val="0.72774457409691262"/>
          <c:h val="0.26582599969121506"/>
        </c:manualLayout>
      </c:layout>
      <c:pie3DChart>
        <c:varyColors val="1"/>
        <c:ser>
          <c:idx val="0"/>
          <c:order val="0"/>
          <c:tx>
            <c:strRef>
              <c:f>Visualization!$I$3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18A-4B6E-825F-DFB6612787F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18A-4B6E-825F-DFB6612787F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18A-4B6E-825F-DFB6612787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Visualization!$H$4:$H$7</c:f>
              <c:strCache>
                <c:ptCount val="3"/>
                <c:pt idx="0">
                  <c:v>Average</c:v>
                </c:pt>
                <c:pt idx="1">
                  <c:v>Excellent</c:v>
                </c:pt>
                <c:pt idx="2">
                  <c:v>Needs Improvement</c:v>
                </c:pt>
              </c:strCache>
            </c:strRef>
          </c:cat>
          <c:val>
            <c:numRef>
              <c:f>Visualization!$I$4:$I$7</c:f>
              <c:numCache>
                <c:formatCode>General</c:formatCode>
                <c:ptCount val="3"/>
                <c:pt idx="0">
                  <c:v>10</c:v>
                </c:pt>
                <c:pt idx="1">
                  <c:v>214</c:v>
                </c:pt>
                <c:pt idx="2">
                  <c:v>76</c:v>
                </c:pt>
              </c:numCache>
            </c:numRef>
          </c:val>
          <c:extLst>
            <c:ext xmlns:c16="http://schemas.microsoft.com/office/drawing/2014/chart" uri="{C3380CC4-5D6E-409C-BE32-E72D297353CC}">
              <c16:uniqueId val="{00000000-F32C-4A45-8701-28BA82140DE2}"/>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571500</xdr:colOff>
      <xdr:row>1</xdr:row>
      <xdr:rowOff>76200</xdr:rowOff>
    </xdr:from>
    <xdr:to>
      <xdr:col>17</xdr:col>
      <xdr:colOff>472440</xdr:colOff>
      <xdr:row>3</xdr:row>
      <xdr:rowOff>152400</xdr:rowOff>
    </xdr:to>
    <xdr:sp macro="" textlink="">
      <xdr:nvSpPr>
        <xdr:cNvPr id="2" name="Rectangle 1">
          <a:extLst>
            <a:ext uri="{FF2B5EF4-FFF2-40B4-BE49-F238E27FC236}">
              <a16:creationId xmlns:a16="http://schemas.microsoft.com/office/drawing/2014/main" id="{06CCDE23-F9F0-51B9-54A2-F49EAB947FEA}"/>
            </a:ext>
          </a:extLst>
        </xdr:cNvPr>
        <xdr:cNvSpPr/>
      </xdr:nvSpPr>
      <xdr:spPr>
        <a:xfrm>
          <a:off x="3009900" y="259080"/>
          <a:ext cx="8732520" cy="441960"/>
        </a:xfrm>
        <a:prstGeom prst="rect">
          <a:avLst/>
        </a:prstGeom>
        <a:solidFill>
          <a:schemeClr val="accent1">
            <a:lumMod val="75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1">
              <a:latin typeface="Cambria" panose="02040503050406030204" pitchFamily="18" charset="0"/>
              <a:ea typeface="Cambria" panose="02040503050406030204" pitchFamily="18" charset="0"/>
              <a:cs typeface="Arial" panose="020B0604020202020204" pitchFamily="34" charset="0"/>
            </a:rPr>
            <a:t>SALES &amp; REVENUE PERFORMANCE ANALYTICS DASHBOARD - 2023</a:t>
          </a:r>
        </a:p>
      </xdr:txBody>
    </xdr:sp>
    <xdr:clientData/>
  </xdr:twoCellAnchor>
  <xdr:twoCellAnchor>
    <xdr:from>
      <xdr:col>4</xdr:col>
      <xdr:colOff>381000</xdr:colOff>
      <xdr:row>11</xdr:row>
      <xdr:rowOff>121920</xdr:rowOff>
    </xdr:from>
    <xdr:to>
      <xdr:col>10</xdr:col>
      <xdr:colOff>312420</xdr:colOff>
      <xdr:row>26</xdr:row>
      <xdr:rowOff>137160</xdr:rowOff>
    </xdr:to>
    <xdr:graphicFrame macro="">
      <xdr:nvGraphicFramePr>
        <xdr:cNvPr id="3" name="Chart 2">
          <a:extLst>
            <a:ext uri="{FF2B5EF4-FFF2-40B4-BE49-F238E27FC236}">
              <a16:creationId xmlns:a16="http://schemas.microsoft.com/office/drawing/2014/main" id="{93B3F18D-11DE-4C83-9CF8-DDB8837CD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457200</xdr:colOff>
      <xdr:row>11</xdr:row>
      <xdr:rowOff>121920</xdr:rowOff>
    </xdr:from>
    <xdr:to>
      <xdr:col>18</xdr:col>
      <xdr:colOff>297180</xdr:colOff>
      <xdr:row>26</xdr:row>
      <xdr:rowOff>152400</xdr:rowOff>
    </xdr:to>
    <xdr:graphicFrame macro="">
      <xdr:nvGraphicFramePr>
        <xdr:cNvPr id="4" name="Chart 3">
          <a:extLst>
            <a:ext uri="{FF2B5EF4-FFF2-40B4-BE49-F238E27FC236}">
              <a16:creationId xmlns:a16="http://schemas.microsoft.com/office/drawing/2014/main" id="{4E6D640F-5DA2-4BFC-8488-8FD660F65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388620</xdr:colOff>
      <xdr:row>27</xdr:row>
      <xdr:rowOff>91440</xdr:rowOff>
    </xdr:from>
    <xdr:to>
      <xdr:col>10</xdr:col>
      <xdr:colOff>320040</xdr:colOff>
      <xdr:row>42</xdr:row>
      <xdr:rowOff>106680</xdr:rowOff>
    </xdr:to>
    <xdr:graphicFrame macro="">
      <xdr:nvGraphicFramePr>
        <xdr:cNvPr id="7" name="Chart 6">
          <a:extLst>
            <a:ext uri="{FF2B5EF4-FFF2-40B4-BE49-F238E27FC236}">
              <a16:creationId xmlns:a16="http://schemas.microsoft.com/office/drawing/2014/main" id="{2EE85FAA-F85B-4CA3-B199-24098A057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472440</xdr:colOff>
      <xdr:row>27</xdr:row>
      <xdr:rowOff>114300</xdr:rowOff>
    </xdr:from>
    <xdr:to>
      <xdr:col>18</xdr:col>
      <xdr:colOff>297180</xdr:colOff>
      <xdr:row>42</xdr:row>
      <xdr:rowOff>99060</xdr:rowOff>
    </xdr:to>
    <xdr:graphicFrame macro="">
      <xdr:nvGraphicFramePr>
        <xdr:cNvPr id="8" name="Chart 7">
          <a:extLst>
            <a:ext uri="{FF2B5EF4-FFF2-40B4-BE49-F238E27FC236}">
              <a16:creationId xmlns:a16="http://schemas.microsoft.com/office/drawing/2014/main" id="{131BFF52-9C0F-4ED3-83AE-DE59DAAA5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167640</xdr:colOff>
      <xdr:row>11</xdr:row>
      <xdr:rowOff>129540</xdr:rowOff>
    </xdr:from>
    <xdr:to>
      <xdr:col>4</xdr:col>
      <xdr:colOff>190500</xdr:colOff>
      <xdr:row>19</xdr:row>
      <xdr:rowOff>175259</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2BB66D5B-DFD3-4F00-8919-75C84E25EBE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86840" y="2080260"/>
              <a:ext cx="1242060" cy="150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160020</xdr:colOff>
      <xdr:row>20</xdr:row>
      <xdr:rowOff>53341</xdr:rowOff>
    </xdr:from>
    <xdr:to>
      <xdr:col>4</xdr:col>
      <xdr:colOff>190500</xdr:colOff>
      <xdr:row>27</xdr:row>
      <xdr:rowOff>1</xdr:rowOff>
    </xdr:to>
    <mc:AlternateContent xmlns:mc="http://schemas.openxmlformats.org/markup-compatibility/2006" xmlns:a14="http://schemas.microsoft.com/office/drawing/2010/main">
      <mc:Choice Requires="a14">
        <xdr:graphicFrame macro="">
          <xdr:nvGraphicFramePr>
            <xdr:cNvPr id="10" name="Sales_Channel 1">
              <a:extLst>
                <a:ext uri="{FF2B5EF4-FFF2-40B4-BE49-F238E27FC236}">
                  <a16:creationId xmlns:a16="http://schemas.microsoft.com/office/drawing/2014/main" id="{5D2D1BC2-F531-4DCA-ABF2-167908C40A53}"/>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1379220" y="3649981"/>
              <a:ext cx="124968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144780</xdr:colOff>
      <xdr:row>27</xdr:row>
      <xdr:rowOff>83820</xdr:rowOff>
    </xdr:from>
    <xdr:to>
      <xdr:col>4</xdr:col>
      <xdr:colOff>175260</xdr:colOff>
      <xdr:row>34</xdr:row>
      <xdr:rowOff>38100</xdr:rowOff>
    </xdr:to>
    <mc:AlternateContent xmlns:mc="http://schemas.openxmlformats.org/markup-compatibility/2006" xmlns:a14="http://schemas.microsoft.com/office/drawing/2010/main">
      <mc:Choice Requires="a14">
        <xdr:graphicFrame macro="">
          <xdr:nvGraphicFramePr>
            <xdr:cNvPr id="11" name="Customer_Type 1">
              <a:extLst>
                <a:ext uri="{FF2B5EF4-FFF2-40B4-BE49-F238E27FC236}">
                  <a16:creationId xmlns:a16="http://schemas.microsoft.com/office/drawing/2014/main" id="{75BD7776-1E57-458C-9007-1D86E4B56B36}"/>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1363980" y="4960620"/>
              <a:ext cx="124968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152400</xdr:colOff>
      <xdr:row>34</xdr:row>
      <xdr:rowOff>106680</xdr:rowOff>
    </xdr:from>
    <xdr:to>
      <xdr:col>4</xdr:col>
      <xdr:colOff>160020</xdr:colOff>
      <xdr:row>42</xdr:row>
      <xdr:rowOff>60960</xdr:rowOff>
    </xdr:to>
    <mc:AlternateContent xmlns:mc="http://schemas.openxmlformats.org/markup-compatibility/2006" xmlns:a14="http://schemas.microsoft.com/office/drawing/2010/main">
      <mc:Choice Requires="a14">
        <xdr:graphicFrame macro="">
          <xdr:nvGraphicFramePr>
            <xdr:cNvPr id="12" name="Product_Category 1">
              <a:extLst>
                <a:ext uri="{FF2B5EF4-FFF2-40B4-BE49-F238E27FC236}">
                  <a16:creationId xmlns:a16="http://schemas.microsoft.com/office/drawing/2014/main" id="{5D1F6C7E-F31E-4CEC-BB67-C852FEF54C82}"/>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371600" y="6263640"/>
              <a:ext cx="122682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160020</xdr:colOff>
      <xdr:row>43</xdr:row>
      <xdr:rowOff>167640</xdr:rowOff>
    </xdr:from>
    <xdr:to>
      <xdr:col>15</xdr:col>
      <xdr:colOff>312420</xdr:colOff>
      <xdr:row>59</xdr:row>
      <xdr:rowOff>99060</xdr:rowOff>
    </xdr:to>
    <xdr:graphicFrame macro="">
      <xdr:nvGraphicFramePr>
        <xdr:cNvPr id="5" name="Chart 4">
          <a:extLst>
            <a:ext uri="{FF2B5EF4-FFF2-40B4-BE49-F238E27FC236}">
              <a16:creationId xmlns:a16="http://schemas.microsoft.com/office/drawing/2014/main" id="{5D51FD0E-1803-4D5C-9896-0BE1287F0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11</xdr:row>
      <xdr:rowOff>38100</xdr:rowOff>
    </xdr:from>
    <xdr:to>
      <xdr:col>6</xdr:col>
      <xdr:colOff>144780</xdr:colOff>
      <xdr:row>12</xdr:row>
      <xdr:rowOff>144780</xdr:rowOff>
    </xdr:to>
    <xdr:sp macro="" textlink="">
      <xdr:nvSpPr>
        <xdr:cNvPr id="2" name="Rectangle 1">
          <a:extLst>
            <a:ext uri="{FF2B5EF4-FFF2-40B4-BE49-F238E27FC236}">
              <a16:creationId xmlns:a16="http://schemas.microsoft.com/office/drawing/2014/main" id="{3FDC9A10-1154-3226-6AFF-9B53E27B27CA}"/>
            </a:ext>
          </a:extLst>
        </xdr:cNvPr>
        <xdr:cNvSpPr/>
      </xdr:nvSpPr>
      <xdr:spPr>
        <a:xfrm>
          <a:off x="45720" y="2049780"/>
          <a:ext cx="6019800" cy="289560"/>
        </a:xfrm>
        <a:prstGeom prst="rect">
          <a:avLst/>
        </a:prstGeom>
        <a:solidFill>
          <a:schemeClr val="tx2">
            <a:lumMod val="60000"/>
            <a:lumOff val="40000"/>
          </a:schemeClr>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1">
              <a:latin typeface="Arial" panose="020B0604020202020204" pitchFamily="34" charset="0"/>
              <a:cs typeface="Arial" panose="020B0604020202020204" pitchFamily="34" charset="0"/>
            </a:rPr>
            <a:t>Monthly Sales Trend</a:t>
          </a:r>
        </a:p>
      </xdr:txBody>
    </xdr:sp>
    <xdr:clientData/>
  </xdr:twoCellAnchor>
  <xdr:twoCellAnchor>
    <xdr:from>
      <xdr:col>7</xdr:col>
      <xdr:colOff>53340</xdr:colOff>
      <xdr:row>11</xdr:row>
      <xdr:rowOff>38100</xdr:rowOff>
    </xdr:from>
    <xdr:to>
      <xdr:col>14</xdr:col>
      <xdr:colOff>487680</xdr:colOff>
      <xdr:row>12</xdr:row>
      <xdr:rowOff>144780</xdr:rowOff>
    </xdr:to>
    <xdr:sp macro="" textlink="">
      <xdr:nvSpPr>
        <xdr:cNvPr id="3" name="Rectangle 2">
          <a:extLst>
            <a:ext uri="{FF2B5EF4-FFF2-40B4-BE49-F238E27FC236}">
              <a16:creationId xmlns:a16="http://schemas.microsoft.com/office/drawing/2014/main" id="{F50C1E67-08F7-41A4-9E44-925BD4DF150B}"/>
            </a:ext>
          </a:extLst>
        </xdr:cNvPr>
        <xdr:cNvSpPr/>
      </xdr:nvSpPr>
      <xdr:spPr>
        <a:xfrm>
          <a:off x="6583680" y="2049780"/>
          <a:ext cx="6385560" cy="289560"/>
        </a:xfrm>
        <a:prstGeom prst="rect">
          <a:avLst/>
        </a:prstGeom>
        <a:solidFill>
          <a:schemeClr val="tx2">
            <a:lumMod val="60000"/>
            <a:lumOff val="40000"/>
          </a:schemeClr>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1">
              <a:latin typeface="Arial" panose="020B0604020202020204" pitchFamily="34" charset="0"/>
              <a:cs typeface="Arial" panose="020B0604020202020204" pitchFamily="34" charset="0"/>
            </a:rPr>
            <a:t>Category wise Profit</a:t>
          </a:r>
        </a:p>
      </xdr:txBody>
    </xdr:sp>
    <xdr:clientData/>
  </xdr:twoCellAnchor>
  <xdr:twoCellAnchor>
    <xdr:from>
      <xdr:col>0</xdr:col>
      <xdr:colOff>45720</xdr:colOff>
      <xdr:row>27</xdr:row>
      <xdr:rowOff>38100</xdr:rowOff>
    </xdr:from>
    <xdr:to>
      <xdr:col>6</xdr:col>
      <xdr:colOff>160020</xdr:colOff>
      <xdr:row>28</xdr:row>
      <xdr:rowOff>144780</xdr:rowOff>
    </xdr:to>
    <xdr:sp macro="" textlink="">
      <xdr:nvSpPr>
        <xdr:cNvPr id="4" name="Rectangle 3">
          <a:extLst>
            <a:ext uri="{FF2B5EF4-FFF2-40B4-BE49-F238E27FC236}">
              <a16:creationId xmlns:a16="http://schemas.microsoft.com/office/drawing/2014/main" id="{A47647CE-0E65-44E7-B6DB-10305B4C76AF}"/>
            </a:ext>
          </a:extLst>
        </xdr:cNvPr>
        <xdr:cNvSpPr/>
      </xdr:nvSpPr>
      <xdr:spPr>
        <a:xfrm>
          <a:off x="45720" y="4975860"/>
          <a:ext cx="6035040" cy="289560"/>
        </a:xfrm>
        <a:prstGeom prst="rect">
          <a:avLst/>
        </a:prstGeom>
        <a:solidFill>
          <a:schemeClr val="tx2">
            <a:lumMod val="60000"/>
            <a:lumOff val="40000"/>
          </a:schemeClr>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1">
              <a:latin typeface="Arial" panose="020B0604020202020204" pitchFamily="34" charset="0"/>
              <a:cs typeface="Arial" panose="020B0604020202020204" pitchFamily="34" charset="0"/>
            </a:rPr>
            <a:t>Top Sales Rep</a:t>
          </a:r>
        </a:p>
      </xdr:txBody>
    </xdr:sp>
    <xdr:clientData/>
  </xdr:twoCellAnchor>
  <xdr:twoCellAnchor>
    <xdr:from>
      <xdr:col>7</xdr:col>
      <xdr:colOff>45720</xdr:colOff>
      <xdr:row>27</xdr:row>
      <xdr:rowOff>45720</xdr:rowOff>
    </xdr:from>
    <xdr:to>
      <xdr:col>16</xdr:col>
      <xdr:colOff>289560</xdr:colOff>
      <xdr:row>28</xdr:row>
      <xdr:rowOff>152400</xdr:rowOff>
    </xdr:to>
    <xdr:sp macro="" textlink="">
      <xdr:nvSpPr>
        <xdr:cNvPr id="6" name="Rectangle 5">
          <a:extLst>
            <a:ext uri="{FF2B5EF4-FFF2-40B4-BE49-F238E27FC236}">
              <a16:creationId xmlns:a16="http://schemas.microsoft.com/office/drawing/2014/main" id="{842D0707-0EE9-4143-BA67-5F454E0D9372}"/>
            </a:ext>
          </a:extLst>
        </xdr:cNvPr>
        <xdr:cNvSpPr/>
      </xdr:nvSpPr>
      <xdr:spPr>
        <a:xfrm>
          <a:off x="6576060" y="4983480"/>
          <a:ext cx="7414260" cy="289560"/>
        </a:xfrm>
        <a:prstGeom prst="rect">
          <a:avLst/>
        </a:prstGeom>
        <a:solidFill>
          <a:schemeClr val="tx2">
            <a:lumMod val="60000"/>
            <a:lumOff val="40000"/>
          </a:schemeClr>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1">
              <a:latin typeface="Arial" panose="020B0604020202020204" pitchFamily="34" charset="0"/>
              <a:cs typeface="Arial" panose="020B0604020202020204" pitchFamily="34" charset="0"/>
            </a:rPr>
            <a:t>Region wise Performance</a:t>
          </a:r>
        </a:p>
      </xdr:txBody>
    </xdr:sp>
    <xdr:clientData/>
  </xdr:twoCellAnchor>
  <xdr:twoCellAnchor editAs="oneCell">
    <xdr:from>
      <xdr:col>0</xdr:col>
      <xdr:colOff>83820</xdr:colOff>
      <xdr:row>2</xdr:row>
      <xdr:rowOff>91440</xdr:rowOff>
    </xdr:from>
    <xdr:to>
      <xdr:col>1</xdr:col>
      <xdr:colOff>464820</xdr:colOff>
      <xdr:row>10</xdr:row>
      <xdr:rowOff>137159</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AA472203-DB51-E210-A405-894C4736A8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820" y="457200"/>
              <a:ext cx="1242060" cy="150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944880</xdr:colOff>
      <xdr:row>2</xdr:row>
      <xdr:rowOff>106681</xdr:rowOff>
    </xdr:from>
    <xdr:to>
      <xdr:col>3</xdr:col>
      <xdr:colOff>1310640</xdr:colOff>
      <xdr:row>10</xdr:row>
      <xdr:rowOff>137161</xdr:rowOff>
    </xdr:to>
    <mc:AlternateContent xmlns:mc="http://schemas.openxmlformats.org/markup-compatibility/2006" xmlns:a14="http://schemas.microsoft.com/office/drawing/2010/main">
      <mc:Choice Requires="a14">
        <xdr:graphicFrame macro="">
          <xdr:nvGraphicFramePr>
            <xdr:cNvPr id="9" name="Customer_Type">
              <a:extLst>
                <a:ext uri="{FF2B5EF4-FFF2-40B4-BE49-F238E27FC236}">
                  <a16:creationId xmlns:a16="http://schemas.microsoft.com/office/drawing/2014/main" id="{F6BD85B2-8C86-689A-CA88-B3CAE73830BE}"/>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2971800" y="472441"/>
              <a:ext cx="144018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579120</xdr:colOff>
      <xdr:row>2</xdr:row>
      <xdr:rowOff>106680</xdr:rowOff>
    </xdr:from>
    <xdr:to>
      <xdr:col>2</xdr:col>
      <xdr:colOff>845820</xdr:colOff>
      <xdr:row>10</xdr:row>
      <xdr:rowOff>137159</xdr:rowOff>
    </xdr:to>
    <mc:AlternateContent xmlns:mc="http://schemas.openxmlformats.org/markup-compatibility/2006" xmlns:a14="http://schemas.microsoft.com/office/drawing/2010/main">
      <mc:Choice Requires="a14">
        <xdr:graphicFrame macro="">
          <xdr:nvGraphicFramePr>
            <xdr:cNvPr id="10" name="Sales_Channel">
              <a:extLst>
                <a:ext uri="{FF2B5EF4-FFF2-40B4-BE49-F238E27FC236}">
                  <a16:creationId xmlns:a16="http://schemas.microsoft.com/office/drawing/2014/main" id="{C5A0EF83-DBB3-4FC6-D771-0E463F548E8F}"/>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440180" y="472440"/>
              <a:ext cx="143256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106680</xdr:colOff>
      <xdr:row>12</xdr:row>
      <xdr:rowOff>179070</xdr:rowOff>
    </xdr:from>
    <xdr:to>
      <xdr:col>6</xdr:col>
      <xdr:colOff>144780</xdr:colOff>
      <xdr:row>26</xdr:row>
      <xdr:rowOff>83820</xdr:rowOff>
    </xdr:to>
    <xdr:graphicFrame macro="">
      <xdr:nvGraphicFramePr>
        <xdr:cNvPr id="11" name="Chart 10">
          <a:extLst>
            <a:ext uri="{FF2B5EF4-FFF2-40B4-BE49-F238E27FC236}">
              <a16:creationId xmlns:a16="http://schemas.microsoft.com/office/drawing/2014/main" id="{EB495485-E32A-33D3-A4D5-BB43669595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160020</xdr:colOff>
      <xdr:row>13</xdr:row>
      <xdr:rowOff>3810</xdr:rowOff>
    </xdr:from>
    <xdr:to>
      <xdr:col>14</xdr:col>
      <xdr:colOff>502920</xdr:colOff>
      <xdr:row>26</xdr:row>
      <xdr:rowOff>68580</xdr:rowOff>
    </xdr:to>
    <xdr:graphicFrame macro="">
      <xdr:nvGraphicFramePr>
        <xdr:cNvPr id="12" name="Chart 11">
          <a:extLst>
            <a:ext uri="{FF2B5EF4-FFF2-40B4-BE49-F238E27FC236}">
              <a16:creationId xmlns:a16="http://schemas.microsoft.com/office/drawing/2014/main" id="{3F2AAA45-D83A-9EA2-6411-11C277BB4E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121920</xdr:colOff>
      <xdr:row>28</xdr:row>
      <xdr:rowOff>179070</xdr:rowOff>
    </xdr:from>
    <xdr:to>
      <xdr:col>6</xdr:col>
      <xdr:colOff>167640</xdr:colOff>
      <xdr:row>42</xdr:row>
      <xdr:rowOff>83820</xdr:rowOff>
    </xdr:to>
    <xdr:graphicFrame macro="">
      <xdr:nvGraphicFramePr>
        <xdr:cNvPr id="13" name="Chart 12">
          <a:extLst>
            <a:ext uri="{FF2B5EF4-FFF2-40B4-BE49-F238E27FC236}">
              <a16:creationId xmlns:a16="http://schemas.microsoft.com/office/drawing/2014/main" id="{39975CEF-52FC-EBDB-9D89-A394F25BB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121920</xdr:colOff>
      <xdr:row>28</xdr:row>
      <xdr:rowOff>179070</xdr:rowOff>
    </xdr:from>
    <xdr:to>
      <xdr:col>16</xdr:col>
      <xdr:colOff>304800</xdr:colOff>
      <xdr:row>42</xdr:row>
      <xdr:rowOff>83820</xdr:rowOff>
    </xdr:to>
    <xdr:graphicFrame macro="">
      <xdr:nvGraphicFramePr>
        <xdr:cNvPr id="14" name="Chart 13">
          <a:extLst>
            <a:ext uri="{FF2B5EF4-FFF2-40B4-BE49-F238E27FC236}">
              <a16:creationId xmlns:a16="http://schemas.microsoft.com/office/drawing/2014/main" id="{C6C1EE63-F922-5AD4-2B0D-9926232CC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53340</xdr:colOff>
      <xdr:row>0</xdr:row>
      <xdr:rowOff>99060</xdr:rowOff>
    </xdr:from>
    <xdr:to>
      <xdr:col>6</xdr:col>
      <xdr:colOff>99060</xdr:colOff>
      <xdr:row>2</xdr:row>
      <xdr:rowOff>22860</xdr:rowOff>
    </xdr:to>
    <xdr:sp macro="" textlink="">
      <xdr:nvSpPr>
        <xdr:cNvPr id="15" name="Rectangle 14">
          <a:extLst>
            <a:ext uri="{FF2B5EF4-FFF2-40B4-BE49-F238E27FC236}">
              <a16:creationId xmlns:a16="http://schemas.microsoft.com/office/drawing/2014/main" id="{24F66B29-357A-4071-84BD-2783C4A967BB}"/>
            </a:ext>
          </a:extLst>
        </xdr:cNvPr>
        <xdr:cNvSpPr/>
      </xdr:nvSpPr>
      <xdr:spPr>
        <a:xfrm>
          <a:off x="53340" y="99060"/>
          <a:ext cx="5966460" cy="289560"/>
        </a:xfrm>
        <a:prstGeom prst="rect">
          <a:avLst/>
        </a:prstGeom>
        <a:solidFill>
          <a:schemeClr val="tx2">
            <a:lumMod val="60000"/>
            <a:lumOff val="40000"/>
          </a:schemeClr>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1">
              <a:latin typeface="Arial" panose="020B0604020202020204" pitchFamily="34" charset="0"/>
              <a:cs typeface="Arial" panose="020B0604020202020204" pitchFamily="34" charset="0"/>
            </a:rPr>
            <a:t>Control Pannel</a:t>
          </a:r>
        </a:p>
      </xdr:txBody>
    </xdr:sp>
    <xdr:clientData/>
  </xdr:twoCellAnchor>
  <xdr:twoCellAnchor editAs="oneCell">
    <xdr:from>
      <xdr:col>3</xdr:col>
      <xdr:colOff>1409700</xdr:colOff>
      <xdr:row>2</xdr:row>
      <xdr:rowOff>99061</xdr:rowOff>
    </xdr:from>
    <xdr:to>
      <xdr:col>6</xdr:col>
      <xdr:colOff>121920</xdr:colOff>
      <xdr:row>10</xdr:row>
      <xdr:rowOff>121921</xdr:rowOff>
    </xdr:to>
    <mc:AlternateContent xmlns:mc="http://schemas.openxmlformats.org/markup-compatibility/2006" xmlns:a14="http://schemas.microsoft.com/office/drawing/2010/main">
      <mc:Choice Requires="a14">
        <xdr:graphicFrame macro="">
          <xdr:nvGraphicFramePr>
            <xdr:cNvPr id="16" name="Product_Category">
              <a:extLst>
                <a:ext uri="{FF2B5EF4-FFF2-40B4-BE49-F238E27FC236}">
                  <a16:creationId xmlns:a16="http://schemas.microsoft.com/office/drawing/2014/main" id="{1243C80E-F4B0-7D68-3DC4-D9AB743DF5D3}"/>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4511040" y="464821"/>
              <a:ext cx="153162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129540</xdr:colOff>
      <xdr:row>1</xdr:row>
      <xdr:rowOff>0</xdr:rowOff>
    </xdr:from>
    <xdr:to>
      <xdr:col>12</xdr:col>
      <xdr:colOff>45720</xdr:colOff>
      <xdr:row>9</xdr:row>
      <xdr:rowOff>76200</xdr:rowOff>
    </xdr:to>
    <xdr:graphicFrame macro="">
      <xdr:nvGraphicFramePr>
        <xdr:cNvPr id="5" name="Chart 4">
          <a:extLst>
            <a:ext uri="{FF2B5EF4-FFF2-40B4-BE49-F238E27FC236}">
              <a16:creationId xmlns:a16="http://schemas.microsoft.com/office/drawing/2014/main" id="{F7C41611-FDF7-49BC-372D-5C3A16F67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635" refreshedDate="46147.422753472223" createdVersion="8" refreshedVersion="8" minRefreshableVersion="3" recordCount="300" xr:uid="{8EFF6DD8-849C-4A68-B2EB-8AD6ABC4EB51}">
  <cacheSource type="worksheet">
    <worksheetSource name="SalesMaster"/>
  </cacheSource>
  <cacheFields count="19">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3-04-19T00:00:00"/>
    </cacheField>
    <cacheField name="Sales_Rep" numFmtId="0">
      <sharedItems count="5">
        <s v="Eve"/>
        <s v="Charlie"/>
        <s v="David"/>
        <s v="Bob"/>
        <s v="Alice"/>
      </sharedItems>
    </cacheField>
    <cacheField name="Region" numFmtId="0">
      <sharedItems count="4">
        <s v="North"/>
        <s v="South"/>
        <s v="West"/>
        <s v="East"/>
      </sharedItems>
    </cacheField>
    <cacheField name="Sales_Amount" numFmtId="0">
      <sharedItems containsSemiMixedTypes="0" containsString="0" containsNumber="1" minValue="182.8" maxValue="9948.7099999999991"/>
    </cacheField>
    <cacheField name="Quantity_Sold" numFmtId="0">
      <sharedItems containsSemiMixedTypes="0" containsString="0" containsNumber="1" containsInteger="1" minValue="1" maxValue="49"/>
    </cacheField>
    <cacheField name="Product_Category" numFmtId="0">
      <sharedItems count="4">
        <s v="Clothing"/>
        <s v="Furniture"/>
        <s v="Electronics"/>
        <s v="Food"/>
      </sharedItems>
    </cacheField>
    <cacheField name="Unit_Cost" numFmtId="0">
      <sharedItems containsSemiMixedTypes="0" containsString="0" containsNumber="1" minValue="68.33" maxValue="4995.3"/>
    </cacheField>
    <cacheField name="Unit_Price" numFmtId="0">
      <sharedItems containsSemiMixedTypes="0" containsString="0" containsNumber="1" minValue="167.12" maxValue="5442.15"/>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acheField>
    <cacheField name="Sales_Channel" numFmtId="0">
      <sharedItems count="2">
        <s v="Online"/>
        <s v="Retail"/>
      </sharedItems>
    </cacheField>
    <cacheField name="Region_and_Sales_Rep" numFmtId="0">
      <sharedItems/>
    </cacheField>
    <cacheField name="Total_Sales" numFmtId="0">
      <sharedItems containsSemiMixedTypes="0" containsString="0" containsNumber="1" minValue="198.79" maxValue="480852.68"/>
    </cacheField>
    <cacheField name="Total_Cost" numFmtId="0">
      <sharedItems containsSemiMixedTypes="0" containsString="0" containsNumber="1" minValue="332.62" maxValue="223836.30000000002"/>
    </cacheField>
    <cacheField name="Net Profit" numFmtId="0">
      <sharedItems containsSemiMixedTypes="0" containsString="0" containsNumber="1" minValue="-181662.30000000002" maxValue="382075.54"/>
    </cacheField>
    <cacheField name="Profit_Margin" numFmtId="10">
      <sharedItems containsSemiMixedTypes="0" containsString="0" containsNumber="1" minValue="-19.490645514223193" maxValue="0.98751704912467941"/>
    </cacheField>
    <cacheField name="Month" numFmtId="0">
      <sharedItems count="4">
        <s v="Jan"/>
        <s v="Feb"/>
        <s v="Mar"/>
        <s v="Apr"/>
      </sharedItems>
    </cacheField>
  </cacheFields>
  <extLst>
    <ext xmlns:x14="http://schemas.microsoft.com/office/spreadsheetml/2009/9/main" uri="{725AE2AE-9491-48be-B2B4-4EB974FC3084}">
      <x14:pivotCacheDefinition pivotCacheId="10668628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635" refreshedDate="46147.54431365741" backgroundQuery="1" createdVersion="8" refreshedVersion="8" minRefreshableVersion="3" recordCount="0" supportSubquery="1" supportAdvancedDrill="1" xr:uid="{92C57F54-D7D7-4DD9-977C-D51D932FA470}">
  <cacheSource type="external" connectionId="1"/>
  <cacheFields count="2">
    <cacheField name="[SalesMaster].[Performance_Grade].[Performance_Grade]" caption="Performance_Grade" numFmtId="0" hierarchy="19" level="1">
      <sharedItems count="3">
        <s v="Average"/>
        <s v="Excellent"/>
        <s v="Needs Improvement"/>
      </sharedItems>
    </cacheField>
    <cacheField name="[Measures].[Count of Sales_Rep]" caption="Count of Sales_Rep" numFmtId="0" hierarchy="22" level="32767"/>
  </cacheFields>
  <cacheHierarchies count="23">
    <cacheHierarchy uniqueName="[SalesMaster].[Product_ID]" caption="Product_ID" attribute="1" defaultMemberUniqueName="[SalesMaster].[Product_ID].[All]" allUniqueName="[SalesMaster].[Product_ID].[All]" dimensionUniqueName="[SalesMaster]" displayFolder="" count="0" memberValueDatatype="20" unbalanced="0"/>
    <cacheHierarchy uniqueName="[SalesMaster].[Sale_Date]" caption="Sale_Date" attribute="1" time="1" defaultMemberUniqueName="[SalesMaster].[Sale_Date].[All]" allUniqueName="[SalesMaster].[Sale_Date].[All]" dimensionUniqueName="[SalesMaster]" displayFolder="" count="0" memberValueDatatype="7" unbalanced="0"/>
    <cacheHierarchy uniqueName="[SalesMaster].[Sales_Rep]" caption="Sales_Rep" attribute="1" defaultMemberUniqueName="[SalesMaster].[Sales_Rep].[All]" allUniqueName="[SalesMaster].[Sales_Rep].[All]" dimensionUniqueName="[SalesMaster]" displayFolder="" count="2" memberValueDatatype="130" unbalanced="0"/>
    <cacheHierarchy uniqueName="[SalesMaster].[Region]" caption="Region" attribute="1" defaultMemberUniqueName="[SalesMaster].[Region].[All]" allUniqueName="[SalesMaster].[Region].[All]" dimensionUniqueName="[SalesMaster]" displayFolder="" count="0" memberValueDatatype="130" unbalanced="0"/>
    <cacheHierarchy uniqueName="[SalesMaster].[Sales_Amount]" caption="Sales_Amount" attribute="1" defaultMemberUniqueName="[SalesMaster].[Sales_Amount].[All]" allUniqueName="[SalesMaster].[Sales_Amount].[All]" dimensionUniqueName="[SalesMaster]" displayFolder="" count="0" memberValueDatatype="5" unbalanced="0"/>
    <cacheHierarchy uniqueName="[SalesMaster].[Quantity_Sold]" caption="Quantity_Sold" attribute="1" defaultMemberUniqueName="[SalesMaster].[Quantity_Sold].[All]" allUniqueName="[SalesMaster].[Quantity_Sold].[All]" dimensionUniqueName="[SalesMaster]" displayFolder="" count="0" memberValueDatatype="20" unbalanced="0"/>
    <cacheHierarchy uniqueName="[SalesMaster].[Product_Category]" caption="Product_Category" attribute="1" defaultMemberUniqueName="[SalesMaster].[Product_Category].[All]" allUniqueName="[SalesMaster].[Product_Category].[All]" dimensionUniqueName="[SalesMaster]" displayFolder="" count="0" memberValueDatatype="130" unbalanced="0"/>
    <cacheHierarchy uniqueName="[SalesMaster].[Unit_Cost]" caption="Unit_Cost" attribute="1" defaultMemberUniqueName="[SalesMaster].[Unit_Cost].[All]" allUniqueName="[SalesMaster].[Unit_Cost].[All]" dimensionUniqueName="[SalesMaster]" displayFolder="" count="0" memberValueDatatype="5" unbalanced="0"/>
    <cacheHierarchy uniqueName="[SalesMaster].[Unit_Price]" caption="Unit_Price" attribute="1" defaultMemberUniqueName="[SalesMaster].[Unit_Price].[All]" allUniqueName="[SalesMaster].[Unit_Price].[All]" dimensionUniqueName="[SalesMaster]" displayFolder="" count="0" memberValueDatatype="5" unbalanced="0"/>
    <cacheHierarchy uniqueName="[SalesMaster].[Customer_Type]" caption="Customer_Type" attribute="1" defaultMemberUniqueName="[SalesMaster].[Customer_Type].[All]" allUniqueName="[SalesMaster].[Customer_Type].[All]" dimensionUniqueName="[SalesMaster]" displayFolder="" count="0" memberValueDatatype="130" unbalanced="0"/>
    <cacheHierarchy uniqueName="[SalesMaster].[Discount]" caption="Discount" attribute="1" defaultMemberUniqueName="[SalesMaster].[Discount].[All]" allUniqueName="[SalesMaster].[Discount].[All]" dimensionUniqueName="[SalesMaster]" displayFolder="" count="0" memberValueDatatype="5" unbalanced="0"/>
    <cacheHierarchy uniqueName="[SalesMaster].[Payment_Method]" caption="Payment_Method" attribute="1" defaultMemberUniqueName="[SalesMaster].[Payment_Method].[All]" allUniqueName="[SalesMaster].[Payment_Method].[All]" dimensionUniqueName="[SalesMaster]" displayFolder="" count="0" memberValueDatatype="130" unbalanced="0"/>
    <cacheHierarchy uniqueName="[SalesMaster].[Sales_Channel]" caption="Sales_Channel" attribute="1" defaultMemberUniqueName="[SalesMaster].[Sales_Channel].[All]" allUniqueName="[SalesMaster].[Sales_Channel].[All]" dimensionUniqueName="[SalesMaster]" displayFolder="" count="0" memberValueDatatype="130" unbalanced="0"/>
    <cacheHierarchy uniqueName="[SalesMaster].[Region_and_Sales_Rep]" caption="Region_and_Sales_Rep" attribute="1" defaultMemberUniqueName="[SalesMaster].[Region_and_Sales_Rep].[All]" allUniqueName="[SalesMaster].[Region_and_Sales_Rep].[All]" dimensionUniqueName="[SalesMaster]" displayFolder="" count="0" memberValueDatatype="130" unbalanced="0"/>
    <cacheHierarchy uniqueName="[SalesMaster].[Total_Sales]" caption="Total_Sales" attribute="1" defaultMemberUniqueName="[SalesMaster].[Total_Sales].[All]" allUniqueName="[SalesMaster].[Total_Sales].[All]" dimensionUniqueName="[SalesMaster]" displayFolder="" count="0" memberValueDatatype="5" unbalanced="0"/>
    <cacheHierarchy uniqueName="[SalesMaster].[Total_Cost]" caption="Total_Cost" attribute="1" defaultMemberUniqueName="[SalesMaster].[Total_Cost].[All]" allUniqueName="[SalesMaster].[Total_Cost].[All]" dimensionUniqueName="[SalesMaster]" displayFolder="" count="0" memberValueDatatype="5" unbalanced="0"/>
    <cacheHierarchy uniqueName="[SalesMaster].[Net Profit]" caption="Net Profit" attribute="1" defaultMemberUniqueName="[SalesMaster].[Net Profit].[All]" allUniqueName="[SalesMaster].[Net Profit].[All]" dimensionUniqueName="[SalesMaster]" displayFolder="" count="0" memberValueDatatype="5" unbalanced="0"/>
    <cacheHierarchy uniqueName="[SalesMaster].[Profit_Margin]" caption="Profit_Margin" attribute="1" defaultMemberUniqueName="[SalesMaster].[Profit_Margin].[All]" allUniqueName="[SalesMaster].[Profit_Margin].[All]" dimensionUniqueName="[SalesMaster]" displayFolder="" count="0" memberValueDatatype="5" unbalanced="0"/>
    <cacheHierarchy uniqueName="[SalesMaster].[Month]" caption="Month" attribute="1" defaultMemberUniqueName="[SalesMaster].[Month].[All]" allUniqueName="[SalesMaster].[Month].[All]" dimensionUniqueName="[SalesMaster]" displayFolder="" count="0" memberValueDatatype="130" unbalanced="0"/>
    <cacheHierarchy uniqueName="[SalesMaster].[Performance_Grade]" caption="Performance_Grade" attribute="1" defaultMemberUniqueName="[SalesMaster].[Performance_Grade].[All]" allUniqueName="[SalesMaster].[Performance_Grade].[All]" dimensionUniqueName="[SalesMaster]" displayFolder="" count="2" memberValueDatatype="130" unbalanced="0">
      <fieldsUsage count="2">
        <fieldUsage x="-1"/>
        <fieldUsage x="0"/>
      </fieldsUsage>
    </cacheHierarchy>
    <cacheHierarchy uniqueName="[Measures].[__XL_Count SalesMaster]" caption="__XL_Count SalesMaster" measure="1" displayFolder="" measureGroup="SalesMaster" count="0" hidden="1"/>
    <cacheHierarchy uniqueName="[Measures].[__No measures defined]" caption="__No measures defined" measure="1" displayFolder="" count="0" hidden="1"/>
    <cacheHierarchy uniqueName="[Measures].[Count of Sales_Rep]" caption="Count of Sales_Rep" measure="1" displayFolder="" measureGroup="SalesMaster"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alesMaster" uniqueName="[SalesMaster]" caption="SalesMaster"/>
  </dimensions>
  <measureGroups count="1">
    <measureGroup name="SalesMaster" caption="SalesMas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8"/>
    <d v="2023-01-01T00:00:00"/>
    <x v="0"/>
    <x v="0"/>
    <n v="5227.8100000000004"/>
    <n v="38"/>
    <x v="0"/>
    <n v="4635.2299999999996"/>
    <n v="5075.4399999999996"/>
    <x v="0"/>
    <n v="0.05"/>
    <s v="Cash"/>
    <x v="0"/>
    <s v="North-Eve"/>
    <n v="198656.78000000003"/>
    <n v="176138.74"/>
    <n v="22518.040000000037"/>
    <n v="0.11335147987398182"/>
    <x v="0"/>
  </r>
  <r>
    <n v="1089"/>
    <d v="2023-01-01T00:00:00"/>
    <x v="1"/>
    <x v="0"/>
    <n v="8130.13"/>
    <n v="35"/>
    <x v="0"/>
    <n v="4071.01"/>
    <n v="4304.7"/>
    <x v="1"/>
    <n v="0.14000000000000001"/>
    <s v="Credit Card"/>
    <x v="0"/>
    <s v="North-Charlie"/>
    <n v="284554.55"/>
    <n v="142485.35"/>
    <n v="142069.19999999998"/>
    <n v="0.49926876938007136"/>
    <x v="0"/>
  </r>
  <r>
    <n v="1070"/>
    <d v="2023-01-01T00:00:00"/>
    <x v="0"/>
    <x v="1"/>
    <n v="783.18"/>
    <n v="12"/>
    <x v="1"/>
    <n v="664.33"/>
    <n v="863.03"/>
    <x v="0"/>
    <n v="0.25"/>
    <s v="Bank Transfer"/>
    <x v="1"/>
    <s v="South-Eve"/>
    <n v="9398.16"/>
    <n v="7971.9600000000009"/>
    <n v="1426.1999999999989"/>
    <n v="0.15175310911923173"/>
    <x v="0"/>
  </r>
  <r>
    <n v="1064"/>
    <d v="2023-01-02T00:00:00"/>
    <x v="2"/>
    <x v="1"/>
    <n v="5533.7"/>
    <n v="10"/>
    <x v="2"/>
    <n v="2242.0100000000002"/>
    <n v="2282.23"/>
    <x v="0"/>
    <n v="0.2"/>
    <s v="Credit Card"/>
    <x v="0"/>
    <s v="South-David"/>
    <n v="55337"/>
    <n v="22420.100000000002"/>
    <n v="32916.899999999994"/>
    <n v="0.59484431754522282"/>
    <x v="0"/>
  </r>
  <r>
    <n v="1075"/>
    <d v="2023-01-02T00:00:00"/>
    <x v="2"/>
    <x v="2"/>
    <n v="919.09"/>
    <n v="26"/>
    <x v="2"/>
    <n v="4535.38"/>
    <n v="4557.5600000000004"/>
    <x v="1"/>
    <n v="0"/>
    <s v="Credit Card"/>
    <x v="0"/>
    <s v="West-David"/>
    <n v="23896.34"/>
    <n v="117919.88"/>
    <n v="-94023.540000000008"/>
    <n v="-3.9346418740275713"/>
    <x v="0"/>
  </r>
  <r>
    <n v="1099"/>
    <d v="2023-01-03T00:00:00"/>
    <x v="3"/>
    <x v="3"/>
    <n v="5613.1"/>
    <n v="31"/>
    <x v="1"/>
    <n v="4632.8500000000004"/>
    <n v="4711.7"/>
    <x v="1"/>
    <n v="0.21"/>
    <s v="Cash"/>
    <x v="1"/>
    <s v="East-Bob"/>
    <n v="174006.1"/>
    <n v="143618.35"/>
    <n v="30387.75"/>
    <n v="0.17463611907858403"/>
    <x v="0"/>
  </r>
  <r>
    <n v="1087"/>
    <d v="2023-01-03T00:00:00"/>
    <x v="1"/>
    <x v="3"/>
    <n v="8057.76"/>
    <n v="20"/>
    <x v="1"/>
    <n v="3625.94"/>
    <n v="3880.53"/>
    <x v="1"/>
    <n v="0.24"/>
    <s v="Bank Transfer"/>
    <x v="0"/>
    <s v="East-Charlie"/>
    <n v="161155.20000000001"/>
    <n v="72518.8"/>
    <n v="88636.400000000009"/>
    <n v="0.55000645340640575"/>
    <x v="0"/>
  </r>
  <r>
    <n v="1027"/>
    <d v="2023-01-03T00:00:00"/>
    <x v="3"/>
    <x v="3"/>
    <n v="7648.22"/>
    <n v="30"/>
    <x v="1"/>
    <n v="745.93"/>
    <n v="1143.02"/>
    <x v="0"/>
    <n v="0.2"/>
    <s v="Credit Card"/>
    <x v="0"/>
    <s v="East-Bob"/>
    <n v="229446.6"/>
    <n v="22377.899999999998"/>
    <n v="207068.7"/>
    <n v="0.90247011722989146"/>
    <x v="0"/>
  </r>
  <r>
    <n v="1064"/>
    <d v="2023-01-04T00:00:00"/>
    <x v="0"/>
    <x v="3"/>
    <n v="7412.11"/>
    <n v="10"/>
    <x v="2"/>
    <n v="4764.96"/>
    <n v="5074.42"/>
    <x v="1"/>
    <n v="0.12"/>
    <s v="Cash"/>
    <x v="0"/>
    <s v="East-Eve"/>
    <n v="74121.099999999991"/>
    <n v="47649.599999999999"/>
    <n v="26471.499999999993"/>
    <n v="0.35713852061019058"/>
    <x v="0"/>
  </r>
  <r>
    <n v="1051"/>
    <d v="2023-01-04T00:00:00"/>
    <x v="0"/>
    <x v="0"/>
    <n v="4979.3599999999997"/>
    <n v="14"/>
    <x v="2"/>
    <n v="3686.81"/>
    <n v="3710.92"/>
    <x v="1"/>
    <n v="0.1"/>
    <s v="Bank Transfer"/>
    <x v="1"/>
    <s v="North-Eve"/>
    <n v="69711.039999999994"/>
    <n v="51615.34"/>
    <n v="18095.699999999997"/>
    <n v="0.25958155264933647"/>
    <x v="0"/>
  </r>
  <r>
    <n v="1002"/>
    <d v="2023-01-04T00:00:00"/>
    <x v="3"/>
    <x v="3"/>
    <n v="2716.34"/>
    <n v="17"/>
    <x v="1"/>
    <n v="1727.12"/>
    <n v="1865.83"/>
    <x v="1"/>
    <n v="0.21"/>
    <s v="Cash"/>
    <x v="0"/>
    <s v="East-Bob"/>
    <n v="46177.78"/>
    <n v="29361.039999999997"/>
    <n v="16816.740000000002"/>
    <n v="0.36417385157969917"/>
    <x v="0"/>
  </r>
  <r>
    <n v="1074"/>
    <d v="2023-01-04T00:00:00"/>
    <x v="0"/>
    <x v="1"/>
    <n v="7508.72"/>
    <n v="38"/>
    <x v="1"/>
    <n v="1394.74"/>
    <n v="1848.69"/>
    <x v="0"/>
    <n v="0"/>
    <s v="Bank Transfer"/>
    <x v="1"/>
    <s v="South-Eve"/>
    <n v="285331.36"/>
    <n v="53000.12"/>
    <n v="232331.24"/>
    <n v="0.81425063126604802"/>
    <x v="0"/>
  </r>
  <r>
    <n v="1086"/>
    <d v="2023-01-04T00:00:00"/>
    <x v="3"/>
    <x v="1"/>
    <n v="6530.14"/>
    <n v="8"/>
    <x v="1"/>
    <n v="1569.31"/>
    <n v="1798.02"/>
    <x v="1"/>
    <n v="7.0000000000000007E-2"/>
    <s v="Credit Card"/>
    <x v="0"/>
    <s v="South-Bob"/>
    <n v="52241.120000000003"/>
    <n v="12554.48"/>
    <n v="39686.639999999999"/>
    <n v="0.75968202825666831"/>
    <x v="0"/>
  </r>
  <r>
    <n v="1090"/>
    <d v="2023-01-04T00:00:00"/>
    <x v="0"/>
    <x v="0"/>
    <n v="1028.3900000000001"/>
    <n v="14"/>
    <x v="1"/>
    <n v="4037.21"/>
    <n v="4323.71"/>
    <x v="0"/>
    <n v="0.27"/>
    <s v="Credit Card"/>
    <x v="0"/>
    <s v="North-Eve"/>
    <n v="14397.460000000001"/>
    <n v="56520.94"/>
    <n v="-42123.48"/>
    <n v="-2.9257577378231994"/>
    <x v="0"/>
  </r>
  <r>
    <n v="1081"/>
    <d v="2023-01-05T00:00:00"/>
    <x v="3"/>
    <x v="1"/>
    <n v="1429.32"/>
    <n v="44"/>
    <x v="3"/>
    <n v="618.79"/>
    <n v="938.04"/>
    <x v="0"/>
    <n v="0.03"/>
    <s v="Cash"/>
    <x v="0"/>
    <s v="South-Bob"/>
    <n v="62890.079999999994"/>
    <n v="27226.76"/>
    <n v="35663.319999999992"/>
    <n v="0.56707385330087023"/>
    <x v="0"/>
  </r>
  <r>
    <n v="1023"/>
    <d v="2023-01-05T00:00:00"/>
    <x v="4"/>
    <x v="3"/>
    <n v="6442.09"/>
    <n v="2"/>
    <x v="0"/>
    <n v="575.32000000000005"/>
    <n v="914.77"/>
    <x v="0"/>
    <n v="0.26"/>
    <s v="Bank Transfer"/>
    <x v="0"/>
    <s v="East-Alice"/>
    <n v="12884.18"/>
    <n v="1150.6400000000001"/>
    <n v="11733.54"/>
    <n v="0.91069357925766337"/>
    <x v="0"/>
  </r>
  <r>
    <n v="1052"/>
    <d v="2023-01-05T00:00:00"/>
    <x v="3"/>
    <x v="0"/>
    <n v="8837.34"/>
    <n v="11"/>
    <x v="0"/>
    <n v="3451.59"/>
    <n v="3929.26"/>
    <x v="1"/>
    <n v="0.3"/>
    <s v="Credit Card"/>
    <x v="1"/>
    <s v="North-Bob"/>
    <n v="97210.74"/>
    <n v="37967.490000000005"/>
    <n v="59243.25"/>
    <n v="0.60943111841345921"/>
    <x v="0"/>
  </r>
  <r>
    <n v="1087"/>
    <d v="2023-01-06T00:00:00"/>
    <x v="0"/>
    <x v="1"/>
    <n v="7698.92"/>
    <n v="46"/>
    <x v="1"/>
    <n v="3702.51"/>
    <n v="3964.65"/>
    <x v="1"/>
    <n v="0.12"/>
    <s v="Bank Transfer"/>
    <x v="0"/>
    <s v="South-Eve"/>
    <n v="354150.32"/>
    <n v="170315.46000000002"/>
    <n v="183834.86"/>
    <n v="0.51908709273508491"/>
    <x v="0"/>
  </r>
  <r>
    <n v="1062"/>
    <d v="2023-01-06T00:00:00"/>
    <x v="0"/>
    <x v="3"/>
    <n v="3439.72"/>
    <n v="15"/>
    <x v="0"/>
    <n v="4756.55"/>
    <n v="4888.46"/>
    <x v="1"/>
    <n v="0.28999999999999998"/>
    <s v="Credit Card"/>
    <x v="0"/>
    <s v="East-Eve"/>
    <n v="51595.799999999996"/>
    <n v="71348.25"/>
    <n v="-19752.450000000004"/>
    <n v="-0.38283057923319352"/>
    <x v="0"/>
  </r>
  <r>
    <n v="1021"/>
    <d v="2023-01-07T00:00:00"/>
    <x v="3"/>
    <x v="0"/>
    <n v="2971.45"/>
    <n v="9"/>
    <x v="1"/>
    <n v="3365.28"/>
    <n v="3730.43"/>
    <x v="1"/>
    <n v="0.17"/>
    <s v="Bank Transfer"/>
    <x v="0"/>
    <s v="North-Bob"/>
    <n v="26743.05"/>
    <n v="30287.52"/>
    <n v="-3544.4700000000012"/>
    <n v="-0.13253798650490506"/>
    <x v="0"/>
  </r>
  <r>
    <n v="1069"/>
    <d v="2023-01-07T00:00:00"/>
    <x v="4"/>
    <x v="3"/>
    <n v="2574.5700000000002"/>
    <n v="6"/>
    <x v="3"/>
    <n v="1768.6"/>
    <n v="2152.1999999999998"/>
    <x v="1"/>
    <n v="0.25"/>
    <s v="Bank Transfer"/>
    <x v="1"/>
    <s v="East-Alice"/>
    <n v="15447.420000000002"/>
    <n v="10611.599999999999"/>
    <n v="4835.8200000000033"/>
    <n v="0.31305033461898507"/>
    <x v="0"/>
  </r>
  <r>
    <n v="1085"/>
    <d v="2023-01-07T00:00:00"/>
    <x v="0"/>
    <x v="2"/>
    <n v="2719.89"/>
    <n v="16"/>
    <x v="3"/>
    <n v="472.08"/>
    <n v="842.46"/>
    <x v="1"/>
    <n v="0"/>
    <s v="Cash"/>
    <x v="1"/>
    <s v="West-Eve"/>
    <n v="43518.239999999998"/>
    <n v="7553.28"/>
    <n v="35964.959999999999"/>
    <n v="0.82643415726371294"/>
    <x v="0"/>
  </r>
  <r>
    <n v="1065"/>
    <d v="2023-01-07T00:00:00"/>
    <x v="0"/>
    <x v="0"/>
    <n v="2365.87"/>
    <n v="6"/>
    <x v="0"/>
    <n v="2019.9"/>
    <n v="2116.7399999999998"/>
    <x v="1"/>
    <n v="0.11"/>
    <s v="Credit Card"/>
    <x v="0"/>
    <s v="North-Eve"/>
    <n v="14195.22"/>
    <n v="12119.400000000001"/>
    <n v="2075.8199999999979"/>
    <n v="0.14623373219999394"/>
    <x v="0"/>
  </r>
  <r>
    <n v="1034"/>
    <d v="2023-01-07T00:00:00"/>
    <x v="2"/>
    <x v="2"/>
    <n v="3677.9"/>
    <n v="28"/>
    <x v="1"/>
    <n v="137.47"/>
    <n v="234.63"/>
    <x v="1"/>
    <n v="0.27"/>
    <s v="Bank Transfer"/>
    <x v="1"/>
    <s v="West-David"/>
    <n v="102981.2"/>
    <n v="3849.16"/>
    <n v="99132.04"/>
    <n v="0.96262269229723485"/>
    <x v="0"/>
  </r>
  <r>
    <n v="1041"/>
    <d v="2023-01-08T00:00:00"/>
    <x v="2"/>
    <x v="3"/>
    <n v="1714.05"/>
    <n v="36"/>
    <x v="3"/>
    <n v="864.77"/>
    <n v="1170.1599999999901"/>
    <x v="0"/>
    <n v="0.11"/>
    <s v="Cash"/>
    <x v="1"/>
    <s v="East-David"/>
    <n v="61705.799999999996"/>
    <n v="31131.72"/>
    <n v="30574.079999999994"/>
    <n v="0.495481462034363"/>
    <x v="0"/>
  </r>
  <r>
    <n v="1039"/>
    <d v="2023-01-08T00:00:00"/>
    <x v="0"/>
    <x v="1"/>
    <n v="3613.75"/>
    <n v="4"/>
    <x v="2"/>
    <n v="1054.1199999999999"/>
    <n v="1175.21999999999"/>
    <x v="0"/>
    <n v="0.12"/>
    <s v="Bank Transfer"/>
    <x v="1"/>
    <s v="South-Eve"/>
    <n v="14455"/>
    <n v="4216.4799999999996"/>
    <n v="10238.52"/>
    <n v="0.70830300933932899"/>
    <x v="0"/>
  </r>
  <r>
    <n v="1067"/>
    <d v="2023-01-09T00:00:00"/>
    <x v="1"/>
    <x v="0"/>
    <n v="1875.71"/>
    <n v="48"/>
    <x v="2"/>
    <n v="210.63"/>
    <n v="533.57999999999902"/>
    <x v="1"/>
    <n v="0.04"/>
    <s v="Bank Transfer"/>
    <x v="0"/>
    <s v="North-Charlie"/>
    <n v="90034.08"/>
    <n v="10110.24"/>
    <n v="79923.839999999997"/>
    <n v="0.88770652179707943"/>
    <x v="0"/>
  </r>
  <r>
    <n v="1057"/>
    <d v="2023-01-09T00:00:00"/>
    <x v="1"/>
    <x v="0"/>
    <n v="2114.38"/>
    <n v="12"/>
    <x v="1"/>
    <n v="639.16"/>
    <n v="746.28"/>
    <x v="0"/>
    <n v="0.04"/>
    <s v="Bank Transfer"/>
    <x v="1"/>
    <s v="North-Charlie"/>
    <n v="25372.560000000001"/>
    <n v="7669.92"/>
    <n v="17702.64"/>
    <n v="0.6977080751804311"/>
    <x v="0"/>
  </r>
  <r>
    <n v="1037"/>
    <d v="2023-01-09T00:00:00"/>
    <x v="1"/>
    <x v="0"/>
    <n v="7750.81"/>
    <n v="41"/>
    <x v="0"/>
    <n v="4965.07"/>
    <n v="5243.13"/>
    <x v="1"/>
    <n v="0.01"/>
    <s v="Credit Card"/>
    <x v="0"/>
    <s v="North-Charlie"/>
    <n v="317783.21000000002"/>
    <n v="203567.87"/>
    <n v="114215.34000000003"/>
    <n v="0.35941275815043855"/>
    <x v="0"/>
  </r>
  <r>
    <n v="1066"/>
    <d v="2023-01-09T00:00:00"/>
    <x v="4"/>
    <x v="0"/>
    <n v="6264.04"/>
    <n v="48"/>
    <x v="0"/>
    <n v="2588.54"/>
    <n v="2872.8"/>
    <x v="1"/>
    <n v="0.17"/>
    <s v="Cash"/>
    <x v="0"/>
    <s v="North-Alice"/>
    <n v="300673.91999999998"/>
    <n v="124249.92"/>
    <n v="176424"/>
    <n v="0.58676189807217072"/>
    <x v="0"/>
  </r>
  <r>
    <n v="1051"/>
    <d v="2023-01-09T00:00:00"/>
    <x v="2"/>
    <x v="1"/>
    <n v="5785.45"/>
    <n v="23"/>
    <x v="1"/>
    <n v="2598.1799999999998"/>
    <n v="3042.73"/>
    <x v="0"/>
    <n v="0.24"/>
    <s v="Credit Card"/>
    <x v="0"/>
    <s v="South-David"/>
    <n v="133065.35"/>
    <n v="59758.14"/>
    <n v="73307.210000000006"/>
    <n v="0.55091133792531266"/>
    <x v="0"/>
  </r>
  <r>
    <n v="1054"/>
    <d v="2023-01-10T00:00:00"/>
    <x v="0"/>
    <x v="1"/>
    <n v="4634.16"/>
    <n v="40"/>
    <x v="1"/>
    <n v="2654.11"/>
    <n v="2929.32"/>
    <x v="0"/>
    <n v="0.08"/>
    <s v="Cash"/>
    <x v="0"/>
    <s v="South-Eve"/>
    <n v="185366.39999999999"/>
    <n v="106164.40000000001"/>
    <n v="79201.999999999985"/>
    <n v="0.42727268803839308"/>
    <x v="0"/>
  </r>
  <r>
    <n v="1094"/>
    <d v="2023-01-10T00:00:00"/>
    <x v="0"/>
    <x v="0"/>
    <n v="2548.67"/>
    <n v="25"/>
    <x v="2"/>
    <n v="1933.39"/>
    <n v="1982.92"/>
    <x v="1"/>
    <n v="0.17"/>
    <s v="Bank Transfer"/>
    <x v="0"/>
    <s v="North-Eve"/>
    <n v="63716.75"/>
    <n v="48334.75"/>
    <n v="15382"/>
    <n v="0.2414121875331055"/>
    <x v="0"/>
  </r>
  <r>
    <n v="1077"/>
    <d v="2023-01-11T00:00:00"/>
    <x v="0"/>
    <x v="0"/>
    <n v="9192.42"/>
    <n v="35"/>
    <x v="2"/>
    <n v="585.37"/>
    <n v="970.49"/>
    <x v="0"/>
    <n v="0.15"/>
    <s v="Bank Transfer"/>
    <x v="1"/>
    <s v="North-Eve"/>
    <n v="321734.7"/>
    <n v="20487.95"/>
    <n v="301246.75"/>
    <n v="0.93632035960062743"/>
    <x v="0"/>
  </r>
  <r>
    <n v="1044"/>
    <d v="2023-01-11T00:00:00"/>
    <x v="0"/>
    <x v="0"/>
    <n v="3594.29"/>
    <n v="5"/>
    <x v="3"/>
    <n v="4762.87"/>
    <n v="5050.46"/>
    <x v="1"/>
    <n v="0.25"/>
    <s v="Cash"/>
    <x v="1"/>
    <s v="North-Eve"/>
    <n v="17971.45"/>
    <n v="23814.35"/>
    <n v="-5842.8999999999978"/>
    <n v="-0.32512123395719306"/>
    <x v="0"/>
  </r>
  <r>
    <n v="1060"/>
    <d v="2023-01-11T00:00:00"/>
    <x v="1"/>
    <x v="2"/>
    <n v="1016.99"/>
    <n v="34"/>
    <x v="2"/>
    <n v="4984.21"/>
    <n v="5184.6400000000003"/>
    <x v="1"/>
    <n v="0.17"/>
    <s v="Cash"/>
    <x v="0"/>
    <s v="West-Charlie"/>
    <n v="34577.660000000003"/>
    <n v="169463.14"/>
    <n v="-134885.48000000001"/>
    <n v="-3.900942978790352"/>
    <x v="0"/>
  </r>
  <r>
    <n v="1084"/>
    <d v="2023-01-11T00:00:00"/>
    <x v="3"/>
    <x v="3"/>
    <n v="8967.18"/>
    <n v="21"/>
    <x v="0"/>
    <n v="576.74"/>
    <n v="648.29"/>
    <x v="0"/>
    <n v="0.2"/>
    <s v="Bank Transfer"/>
    <x v="0"/>
    <s v="East-Bob"/>
    <n v="188310.78"/>
    <n v="12111.54"/>
    <n v="176199.24"/>
    <n v="0.93568323597831193"/>
    <x v="0"/>
  </r>
  <r>
    <n v="1088"/>
    <d v="2023-01-11T00:00:00"/>
    <x v="4"/>
    <x v="1"/>
    <n v="1758.16"/>
    <n v="11"/>
    <x v="3"/>
    <n v="3884.13"/>
    <n v="3915.41"/>
    <x v="0"/>
    <n v="0.02"/>
    <s v="Cash"/>
    <x v="0"/>
    <s v="South-Alice"/>
    <n v="19339.760000000002"/>
    <n v="42725.43"/>
    <n v="-23385.67"/>
    <n v="-1.2092016653774398"/>
    <x v="0"/>
  </r>
  <r>
    <n v="1022"/>
    <d v="2023-01-12T00:00:00"/>
    <x v="0"/>
    <x v="3"/>
    <n v="2761.65"/>
    <n v="13"/>
    <x v="3"/>
    <n v="2312.4499999999998"/>
    <n v="2504.6"/>
    <x v="0"/>
    <n v="0.06"/>
    <s v="Bank Transfer"/>
    <x v="0"/>
    <s v="East-Eve"/>
    <n v="35901.450000000004"/>
    <n v="30061.85"/>
    <n v="5839.6000000000058"/>
    <n v="0.16265638295946278"/>
    <x v="0"/>
  </r>
  <r>
    <n v="1078"/>
    <d v="2023-01-12T00:00:00"/>
    <x v="0"/>
    <x v="3"/>
    <n v="4481.2"/>
    <n v="36"/>
    <x v="3"/>
    <n v="4548.88"/>
    <n v="4853.41"/>
    <x v="0"/>
    <n v="0.25"/>
    <s v="Credit Card"/>
    <x v="1"/>
    <s v="East-Eve"/>
    <n v="161323.19999999998"/>
    <n v="163759.67999999999"/>
    <n v="-2436.4800000000105"/>
    <n v="-1.5103097384629184E-2"/>
    <x v="0"/>
  </r>
  <r>
    <n v="1087"/>
    <d v="2023-01-12T00:00:00"/>
    <x v="1"/>
    <x v="0"/>
    <n v="6701.79"/>
    <n v="21"/>
    <x v="3"/>
    <n v="3724.38"/>
    <n v="3988.7"/>
    <x v="1"/>
    <n v="0.03"/>
    <s v="Bank Transfer"/>
    <x v="1"/>
    <s v="North-Charlie"/>
    <n v="140737.59"/>
    <n v="78211.98"/>
    <n v="62525.61"/>
    <n v="0.44427085897946672"/>
    <x v="0"/>
  </r>
  <r>
    <n v="1013"/>
    <d v="2023-01-12T00:00:00"/>
    <x v="4"/>
    <x v="2"/>
    <n v="7646.8"/>
    <n v="35"/>
    <x v="2"/>
    <n v="1312.71"/>
    <n v="1352.11"/>
    <x v="0"/>
    <n v="0.22"/>
    <s v="Bank Transfer"/>
    <x v="1"/>
    <s v="West-Alice"/>
    <n v="267638"/>
    <n v="45944.85"/>
    <n v="221693.15"/>
    <n v="0.82833211277920171"/>
    <x v="0"/>
  </r>
  <r>
    <n v="1045"/>
    <d v="2023-01-12T00:00:00"/>
    <x v="1"/>
    <x v="1"/>
    <n v="9613.11"/>
    <n v="35"/>
    <x v="1"/>
    <n v="3777.94"/>
    <n v="4188.66"/>
    <x v="1"/>
    <n v="0.17"/>
    <s v="Bank Transfer"/>
    <x v="0"/>
    <s v="South-Charlie"/>
    <n v="336458.85000000003"/>
    <n v="132227.9"/>
    <n v="204230.95000000004"/>
    <n v="0.60700127222095668"/>
    <x v="0"/>
  </r>
  <r>
    <n v="1094"/>
    <d v="2023-01-12T00:00:00"/>
    <x v="0"/>
    <x v="2"/>
    <n v="5835.21"/>
    <n v="38"/>
    <x v="3"/>
    <n v="3443.98"/>
    <n v="3820.3"/>
    <x v="0"/>
    <n v="0.01"/>
    <s v="Credit Card"/>
    <x v="1"/>
    <s v="West-Eve"/>
    <n v="221737.98"/>
    <n v="130871.24"/>
    <n v="90866.74"/>
    <n v="0.40979330649625295"/>
    <x v="0"/>
  </r>
  <r>
    <n v="1048"/>
    <d v="2023-01-12T00:00:00"/>
    <x v="1"/>
    <x v="3"/>
    <n v="6482.98"/>
    <n v="47"/>
    <x v="0"/>
    <n v="702.44"/>
    <n v="1067.6600000000001"/>
    <x v="1"/>
    <n v="0.24"/>
    <s v="Cash"/>
    <x v="1"/>
    <s v="East-Charlie"/>
    <n v="304700.06"/>
    <n v="33014.68"/>
    <n v="271685.38"/>
    <n v="0.89164859370227889"/>
    <x v="0"/>
  </r>
  <r>
    <n v="1090"/>
    <d v="2023-01-13T00:00:00"/>
    <x v="4"/>
    <x v="3"/>
    <n v="2359.5300000000002"/>
    <n v="17"/>
    <x v="0"/>
    <n v="2382.98"/>
    <n v="2839.73"/>
    <x v="0"/>
    <n v="0.23"/>
    <s v="Bank Transfer"/>
    <x v="1"/>
    <s v="East-Alice"/>
    <n v="40112.01"/>
    <n v="40510.660000000003"/>
    <n v="-398.65000000000146"/>
    <n v="-9.9384199395642706E-3"/>
    <x v="0"/>
  </r>
  <r>
    <n v="1012"/>
    <d v="2023-01-13T00:00:00"/>
    <x v="4"/>
    <x v="3"/>
    <n v="8892.3700000000008"/>
    <n v="39"/>
    <x v="1"/>
    <n v="3126.52"/>
    <n v="3465.79"/>
    <x v="1"/>
    <n v="0.08"/>
    <s v="Cash"/>
    <x v="0"/>
    <s v="East-Alice"/>
    <n v="346802.43000000005"/>
    <n v="121934.28"/>
    <n v="224868.15000000005"/>
    <n v="0.64840419370763935"/>
    <x v="0"/>
  </r>
  <r>
    <n v="1033"/>
    <d v="2023-01-14T00:00:00"/>
    <x v="4"/>
    <x v="2"/>
    <n v="1740.92"/>
    <n v="24"/>
    <x v="0"/>
    <n v="1345.67"/>
    <n v="1367.76"/>
    <x v="1"/>
    <n v="0.06"/>
    <s v="Bank Transfer"/>
    <x v="0"/>
    <s v="West-Alice"/>
    <n v="41782.080000000002"/>
    <n v="32296.080000000002"/>
    <n v="9486"/>
    <n v="0.22703513085035498"/>
    <x v="0"/>
  </r>
  <r>
    <n v="1058"/>
    <d v="2023-01-14T00:00:00"/>
    <x v="3"/>
    <x v="3"/>
    <n v="5235.1400000000003"/>
    <n v="6"/>
    <x v="3"/>
    <n v="4987.71"/>
    <n v="4998.78"/>
    <x v="0"/>
    <n v="0.17"/>
    <s v="Cash"/>
    <x v="1"/>
    <s v="East-Bob"/>
    <n v="31410.840000000004"/>
    <n v="29926.260000000002"/>
    <n v="1484.5800000000017"/>
    <n v="4.7263301458986821E-2"/>
    <x v="0"/>
  </r>
  <r>
    <n v="1024"/>
    <d v="2023-01-14T00:00:00"/>
    <x v="3"/>
    <x v="1"/>
    <n v="3334.75"/>
    <n v="45"/>
    <x v="0"/>
    <n v="2693.99"/>
    <n v="3045.9399999999901"/>
    <x v="1"/>
    <n v="0.01"/>
    <s v="Cash"/>
    <x v="1"/>
    <s v="South-Bob"/>
    <n v="150063.75"/>
    <n v="121229.54999999999"/>
    <n v="28834.200000000012"/>
    <n v="0.19214633780643234"/>
    <x v="0"/>
  </r>
  <r>
    <n v="1056"/>
    <d v="2023-01-14T00:00:00"/>
    <x v="1"/>
    <x v="2"/>
    <n v="5720.5"/>
    <n v="25"/>
    <x v="3"/>
    <n v="2361.7399999999998"/>
    <n v="2584.35"/>
    <x v="0"/>
    <n v="0.2"/>
    <s v="Cash"/>
    <x v="0"/>
    <s v="West-Charlie"/>
    <n v="143012.5"/>
    <n v="59043.499999999993"/>
    <n v="83969"/>
    <n v="0.58714448037758937"/>
    <x v="0"/>
  </r>
  <r>
    <n v="1027"/>
    <d v="2023-01-15T00:00:00"/>
    <x v="3"/>
    <x v="2"/>
    <n v="6261.2"/>
    <n v="26"/>
    <x v="3"/>
    <n v="149.11000000000001"/>
    <n v="477.67"/>
    <x v="0"/>
    <n v="0.14000000000000001"/>
    <s v="Cash"/>
    <x v="1"/>
    <s v="West-Bob"/>
    <n v="162791.19999999998"/>
    <n v="3876.8600000000006"/>
    <n v="158914.33999999997"/>
    <n v="0.97618507634319285"/>
    <x v="0"/>
  </r>
  <r>
    <n v="1042"/>
    <d v="2023-01-15T00:00:00"/>
    <x v="2"/>
    <x v="1"/>
    <n v="2298.5500000000002"/>
    <n v="46"/>
    <x v="1"/>
    <n v="2172.38"/>
    <n v="2367.11"/>
    <x v="1"/>
    <n v="0.16"/>
    <s v="Cash"/>
    <x v="1"/>
    <s v="South-David"/>
    <n v="105733.3"/>
    <n v="99929.48000000001"/>
    <n v="5803.8199999999924"/>
    <n v="5.489112701485712E-2"/>
    <x v="0"/>
  </r>
  <r>
    <n v="1040"/>
    <d v="2023-01-15T00:00:00"/>
    <x v="1"/>
    <x v="0"/>
    <n v="8601.77"/>
    <n v="19"/>
    <x v="1"/>
    <n v="342.3"/>
    <n v="768.06"/>
    <x v="0"/>
    <n v="0.09"/>
    <s v="Credit Card"/>
    <x v="0"/>
    <s v="North-Charlie"/>
    <n v="163433.63"/>
    <n v="6503.7"/>
    <n v="156929.93"/>
    <n v="0.96020586460693547"/>
    <x v="0"/>
  </r>
  <r>
    <n v="1017"/>
    <d v="2023-01-15T00:00:00"/>
    <x v="0"/>
    <x v="0"/>
    <n v="289.52999999999997"/>
    <n v="6"/>
    <x v="1"/>
    <n v="2594.42"/>
    <n v="3081.04"/>
    <x v="0"/>
    <n v="0.1"/>
    <s v="Bank Transfer"/>
    <x v="1"/>
    <s v="North-Eve"/>
    <n v="1737.1799999999998"/>
    <n v="15566.52"/>
    <n v="-13829.34"/>
    <n v="-7.960798535557629"/>
    <x v="0"/>
  </r>
  <r>
    <n v="1094"/>
    <d v="2023-01-15T00:00:00"/>
    <x v="3"/>
    <x v="0"/>
    <n v="8872.33"/>
    <n v="45"/>
    <x v="1"/>
    <n v="4470.91"/>
    <n v="4695.54"/>
    <x v="0"/>
    <n v="0.06"/>
    <s v="Cash"/>
    <x v="1"/>
    <s v="North-Bob"/>
    <n v="399254.85"/>
    <n v="201190.94999999998"/>
    <n v="198063.9"/>
    <n v="0.49608389228083266"/>
    <x v="0"/>
  </r>
  <r>
    <n v="1034"/>
    <d v="2023-01-16T00:00:00"/>
    <x v="4"/>
    <x v="0"/>
    <n v="1937.9"/>
    <n v="13"/>
    <x v="1"/>
    <n v="366.31"/>
    <n v="492.68"/>
    <x v="1"/>
    <n v="0.12"/>
    <s v="Credit Card"/>
    <x v="1"/>
    <s v="North-Alice"/>
    <n v="25192.7"/>
    <n v="4762.03"/>
    <n v="20430.670000000002"/>
    <n v="0.81097579854481661"/>
    <x v="0"/>
  </r>
  <r>
    <n v="1013"/>
    <d v="2023-01-16T00:00:00"/>
    <x v="0"/>
    <x v="3"/>
    <n v="6769.09"/>
    <n v="20"/>
    <x v="0"/>
    <n v="3356.62"/>
    <n v="3759.0099999999902"/>
    <x v="0"/>
    <n v="0.05"/>
    <s v="Credit Card"/>
    <x v="1"/>
    <s v="East-Eve"/>
    <n v="135381.79999999999"/>
    <n v="67132.399999999994"/>
    <n v="68249.399999999994"/>
    <n v="0.5041253698798509"/>
    <x v="0"/>
  </r>
  <r>
    <n v="1080"/>
    <d v="2023-01-17T00:00:00"/>
    <x v="3"/>
    <x v="1"/>
    <n v="4224"/>
    <n v="47"/>
    <x v="1"/>
    <n v="4035.33"/>
    <n v="4211.25"/>
    <x v="0"/>
    <n v="7.0000000000000007E-2"/>
    <s v="Bank Transfer"/>
    <x v="0"/>
    <s v="South-Bob"/>
    <n v="198528"/>
    <n v="189660.51"/>
    <n v="8867.4899999999907"/>
    <n v="4.4666193181818137E-2"/>
    <x v="0"/>
  </r>
  <r>
    <n v="1060"/>
    <d v="2023-01-17T00:00:00"/>
    <x v="3"/>
    <x v="1"/>
    <n v="2747.28"/>
    <n v="3"/>
    <x v="2"/>
    <n v="1190.4100000000001"/>
    <n v="1582.89"/>
    <x v="1"/>
    <n v="0.02"/>
    <s v="Credit Card"/>
    <x v="1"/>
    <s v="South-Bob"/>
    <n v="8241.84"/>
    <n v="3571.2300000000005"/>
    <n v="4670.6099999999997"/>
    <n v="0.56669505838502077"/>
    <x v="0"/>
  </r>
  <r>
    <n v="1009"/>
    <d v="2023-01-17T00:00:00"/>
    <x v="2"/>
    <x v="2"/>
    <n v="8401.07"/>
    <n v="12"/>
    <x v="1"/>
    <n v="2278.67"/>
    <n v="2476.8000000000002"/>
    <x v="1"/>
    <n v="0.09"/>
    <s v="Cash"/>
    <x v="1"/>
    <s v="West-David"/>
    <n v="100812.84"/>
    <n v="27344.04"/>
    <n v="73468.799999999988"/>
    <n v="0.72876431216499793"/>
    <x v="0"/>
  </r>
  <r>
    <n v="1016"/>
    <d v="2023-01-17T00:00:00"/>
    <x v="0"/>
    <x v="2"/>
    <n v="4598.0200000000004"/>
    <n v="21"/>
    <x v="2"/>
    <n v="2863.74"/>
    <n v="2953.91"/>
    <x v="1"/>
    <n v="0.1"/>
    <s v="Bank Transfer"/>
    <x v="1"/>
    <s v="West-Eve"/>
    <n v="96558.420000000013"/>
    <n v="60138.539999999994"/>
    <n v="36419.880000000019"/>
    <n v="0.37717974258485187"/>
    <x v="0"/>
  </r>
  <r>
    <n v="1076"/>
    <d v="2023-01-17T00:00:00"/>
    <x v="1"/>
    <x v="1"/>
    <n v="8464.23"/>
    <n v="16"/>
    <x v="0"/>
    <n v="1964.15"/>
    <n v="2211.17"/>
    <x v="0"/>
    <n v="0.21"/>
    <s v="Bank Transfer"/>
    <x v="0"/>
    <s v="South-Charlie"/>
    <n v="135427.68"/>
    <n v="31426.400000000001"/>
    <n v="104001.28"/>
    <n v="0.76794699576925485"/>
    <x v="0"/>
  </r>
  <r>
    <n v="1029"/>
    <d v="2023-01-17T00:00:00"/>
    <x v="1"/>
    <x v="0"/>
    <n v="6275.06"/>
    <n v="31"/>
    <x v="2"/>
    <n v="2719"/>
    <n v="3133.55"/>
    <x v="0"/>
    <n v="0.17"/>
    <s v="Bank Transfer"/>
    <x v="1"/>
    <s v="North-Charlie"/>
    <n v="194526.86000000002"/>
    <n v="84289"/>
    <n v="110237.86000000002"/>
    <n v="0.56669737022434852"/>
    <x v="0"/>
  </r>
  <r>
    <n v="1080"/>
    <d v="2023-01-18T00:00:00"/>
    <x v="1"/>
    <x v="3"/>
    <n v="5138.0200000000004"/>
    <n v="44"/>
    <x v="2"/>
    <n v="1763.67"/>
    <n v="1983.82"/>
    <x v="1"/>
    <n v="0.24"/>
    <s v="Credit Card"/>
    <x v="0"/>
    <s v="East-Charlie"/>
    <n v="226072.88"/>
    <n v="77601.48000000001"/>
    <n v="148471.4"/>
    <n v="0.65674131280142933"/>
    <x v="0"/>
  </r>
  <r>
    <n v="1048"/>
    <d v="2023-01-19T00:00:00"/>
    <x v="3"/>
    <x v="2"/>
    <n v="5187.16"/>
    <n v="7"/>
    <x v="0"/>
    <n v="4310.95"/>
    <n v="4723.2"/>
    <x v="0"/>
    <n v="0.05"/>
    <s v="Credit Card"/>
    <x v="1"/>
    <s v="West-Bob"/>
    <n v="36310.119999999995"/>
    <n v="30176.649999999998"/>
    <n v="6133.4699999999975"/>
    <n v="0.16891902312633497"/>
    <x v="0"/>
  </r>
  <r>
    <n v="1092"/>
    <d v="2023-01-20T00:00:00"/>
    <x v="1"/>
    <x v="3"/>
    <n v="2729.27"/>
    <n v="40"/>
    <x v="2"/>
    <n v="4624.16"/>
    <n v="4731.9799999999996"/>
    <x v="1"/>
    <n v="0.2"/>
    <s v="Bank Transfer"/>
    <x v="1"/>
    <s v="East-Charlie"/>
    <n v="109170.8"/>
    <n v="184966.39999999999"/>
    <n v="-75795.599999999991"/>
    <n v="-0.69428455227954722"/>
    <x v="0"/>
  </r>
  <r>
    <n v="1046"/>
    <d v="2023-01-20T00:00:00"/>
    <x v="0"/>
    <x v="3"/>
    <n v="4104.82"/>
    <n v="43"/>
    <x v="0"/>
    <n v="4052.42"/>
    <n v="4199.3"/>
    <x v="1"/>
    <n v="0.1"/>
    <s v="Bank Transfer"/>
    <x v="1"/>
    <s v="East-Eve"/>
    <n v="176507.25999999998"/>
    <n v="174254.06"/>
    <n v="2253.1999999999825"/>
    <n v="1.2765480581365224E-2"/>
    <x v="0"/>
  </r>
  <r>
    <n v="1053"/>
    <d v="2023-01-20T00:00:00"/>
    <x v="2"/>
    <x v="2"/>
    <n v="8785.77"/>
    <n v="42"/>
    <x v="1"/>
    <n v="2443.5700000000002"/>
    <n v="2943.31"/>
    <x v="1"/>
    <n v="0.28999999999999998"/>
    <s v="Cash"/>
    <x v="0"/>
    <s v="West-David"/>
    <n v="369002.34"/>
    <n v="102629.94"/>
    <n v="266372.40000000002"/>
    <n v="0.72187184504033231"/>
    <x v="0"/>
  </r>
  <r>
    <n v="1017"/>
    <d v="2023-01-20T00:00:00"/>
    <x v="3"/>
    <x v="3"/>
    <n v="496.59"/>
    <n v="29"/>
    <x v="0"/>
    <n v="3410.49"/>
    <n v="3481.72"/>
    <x v="1"/>
    <n v="0.24"/>
    <s v="Bank Transfer"/>
    <x v="1"/>
    <s v="East-Bob"/>
    <n v="14401.109999999999"/>
    <n v="98904.209999999992"/>
    <n v="-84503.099999999991"/>
    <n v="-5.8678185223222377"/>
    <x v="0"/>
  </r>
  <r>
    <n v="1003"/>
    <d v="2023-01-21T00:00:00"/>
    <x v="1"/>
    <x v="0"/>
    <n v="6395.81"/>
    <n v="3"/>
    <x v="1"/>
    <n v="1792.05"/>
    <n v="2091.23"/>
    <x v="0"/>
    <n v="0.09"/>
    <s v="Cash"/>
    <x v="1"/>
    <s v="North-Charlie"/>
    <n v="19187.43"/>
    <n v="5376.15"/>
    <n v="13811.28"/>
    <n v="0.71980874979087872"/>
    <x v="0"/>
  </r>
  <r>
    <n v="1035"/>
    <d v="2023-01-22T00:00:00"/>
    <x v="4"/>
    <x v="0"/>
    <n v="8387.48"/>
    <n v="28"/>
    <x v="1"/>
    <n v="3771.38"/>
    <n v="4234.92"/>
    <x v="1"/>
    <n v="0.28000000000000003"/>
    <s v="Credit Card"/>
    <x v="1"/>
    <s v="North-Alice"/>
    <n v="234849.44"/>
    <n v="105598.64"/>
    <n v="129250.8"/>
    <n v="0.5503560068101504"/>
    <x v="0"/>
  </r>
  <r>
    <n v="1006"/>
    <d v="2023-01-22T00:00:00"/>
    <x v="4"/>
    <x v="1"/>
    <n v="5053.5600000000004"/>
    <n v="29"/>
    <x v="2"/>
    <n v="4353.29"/>
    <n v="4405.8"/>
    <x v="1"/>
    <n v="0.04"/>
    <s v="Bank Transfer"/>
    <x v="0"/>
    <s v="South-Alice"/>
    <n v="146553.24000000002"/>
    <n v="126245.41"/>
    <n v="20307.830000000016"/>
    <n v="0.1385696419949502"/>
    <x v="0"/>
  </r>
  <r>
    <n v="1045"/>
    <d v="2023-01-22T00:00:00"/>
    <x v="3"/>
    <x v="3"/>
    <n v="4594.5"/>
    <n v="46"/>
    <x v="3"/>
    <n v="2577.08"/>
    <n v="2961.56"/>
    <x v="0"/>
    <n v="0.1"/>
    <s v="Cash"/>
    <x v="0"/>
    <s v="East-Bob"/>
    <n v="211347"/>
    <n v="118545.68"/>
    <n v="92801.32"/>
    <n v="0.43909456959407989"/>
    <x v="0"/>
  </r>
  <r>
    <n v="1037"/>
    <d v="2023-01-23T00:00:00"/>
    <x v="3"/>
    <x v="0"/>
    <n v="9813.81"/>
    <n v="40"/>
    <x v="0"/>
    <n v="2790.11"/>
    <n v="3192.37"/>
    <x v="0"/>
    <n v="0.26"/>
    <s v="Bank Transfer"/>
    <x v="0"/>
    <s v="North-Bob"/>
    <n v="392552.39999999997"/>
    <n v="111604.40000000001"/>
    <n v="280947.99999999994"/>
    <n v="0.71569553516931739"/>
    <x v="0"/>
  </r>
  <r>
    <n v="1037"/>
    <d v="2023-01-23T00:00:00"/>
    <x v="1"/>
    <x v="3"/>
    <n v="3649.93"/>
    <n v="25"/>
    <x v="3"/>
    <n v="1074.6199999999999"/>
    <n v="1382.4299999999901"/>
    <x v="0"/>
    <n v="0.24"/>
    <s v="Credit Card"/>
    <x v="1"/>
    <s v="East-Charlie"/>
    <n v="91248.25"/>
    <n v="26865.499999999996"/>
    <n v="64382.75"/>
    <n v="0.70557791519289415"/>
    <x v="0"/>
  </r>
  <r>
    <n v="1018"/>
    <d v="2023-01-23T00:00:00"/>
    <x v="2"/>
    <x v="0"/>
    <n v="7019.59"/>
    <n v="20"/>
    <x v="1"/>
    <n v="1140.6199999999999"/>
    <n v="1258.6299999999901"/>
    <x v="0"/>
    <n v="0.26"/>
    <s v="Bank Transfer"/>
    <x v="0"/>
    <s v="North-David"/>
    <n v="140391.79999999999"/>
    <n v="22812.399999999998"/>
    <n v="117579.4"/>
    <n v="0.83750902830507201"/>
    <x v="0"/>
  </r>
  <r>
    <n v="1054"/>
    <d v="2023-01-24T00:00:00"/>
    <x v="3"/>
    <x v="3"/>
    <n v="6624.55"/>
    <n v="22"/>
    <x v="2"/>
    <n v="4200.08"/>
    <n v="4647.28"/>
    <x v="0"/>
    <n v="0.11"/>
    <s v="Cash"/>
    <x v="0"/>
    <s v="East-Bob"/>
    <n v="145740.1"/>
    <n v="92401.76"/>
    <n v="53338.340000000011"/>
    <n v="0.36598259504419173"/>
    <x v="0"/>
  </r>
  <r>
    <n v="1017"/>
    <d v="2023-01-24T00:00:00"/>
    <x v="0"/>
    <x v="0"/>
    <n v="4637.3999999999996"/>
    <n v="27"/>
    <x v="2"/>
    <n v="927.89"/>
    <n v="1399.09"/>
    <x v="0"/>
    <n v="0.27"/>
    <s v="Credit Card"/>
    <x v="0"/>
    <s v="North-Eve"/>
    <n v="125209.79999999999"/>
    <n v="25053.03"/>
    <n v="100156.76999999999"/>
    <n v="0.79991158839004617"/>
    <x v="0"/>
  </r>
  <r>
    <n v="1011"/>
    <d v="2023-01-25T00:00:00"/>
    <x v="0"/>
    <x v="0"/>
    <n v="2896.48"/>
    <n v="22"/>
    <x v="2"/>
    <n v="1324.52"/>
    <n v="1510.3"/>
    <x v="0"/>
    <n v="0.15"/>
    <s v="Cash"/>
    <x v="1"/>
    <s v="North-Eve"/>
    <n v="63722.559999999998"/>
    <n v="29139.439999999999"/>
    <n v="34583.119999999995"/>
    <n v="0.54271391482074793"/>
    <x v="0"/>
  </r>
  <r>
    <n v="1090"/>
    <d v="2023-01-25T00:00:00"/>
    <x v="1"/>
    <x v="1"/>
    <n v="2381.12"/>
    <n v="17"/>
    <x v="0"/>
    <n v="4190.26"/>
    <n v="4645.3500000000004"/>
    <x v="1"/>
    <n v="0.12"/>
    <s v="Credit Card"/>
    <x v="1"/>
    <s v="South-Charlie"/>
    <n v="40479.040000000001"/>
    <n v="71234.42"/>
    <n v="-30755.379999999997"/>
    <n v="-0.75978531111409753"/>
    <x v="0"/>
  </r>
  <r>
    <n v="1096"/>
    <d v="2023-01-25T00:00:00"/>
    <x v="1"/>
    <x v="2"/>
    <n v="6206.16"/>
    <n v="27"/>
    <x v="0"/>
    <n v="4809"/>
    <n v="4967.4399999999996"/>
    <x v="1"/>
    <n v="0.12"/>
    <s v="Cash"/>
    <x v="0"/>
    <s v="West-Charlie"/>
    <n v="167566.32"/>
    <n v="129843"/>
    <n v="37723.320000000007"/>
    <n v="0.22512471479948956"/>
    <x v="0"/>
  </r>
  <r>
    <n v="1048"/>
    <d v="2023-01-25T00:00:00"/>
    <x v="0"/>
    <x v="1"/>
    <n v="4961.8500000000004"/>
    <n v="7"/>
    <x v="2"/>
    <n v="1655.43"/>
    <n v="2001.08"/>
    <x v="1"/>
    <n v="0.19"/>
    <s v="Bank Transfer"/>
    <x v="0"/>
    <s v="South-Eve"/>
    <n v="34732.950000000004"/>
    <n v="11588.01"/>
    <n v="23144.940000000002"/>
    <n v="0.66636839082197163"/>
    <x v="0"/>
  </r>
  <r>
    <n v="1083"/>
    <d v="2023-01-25T00:00:00"/>
    <x v="2"/>
    <x v="3"/>
    <n v="757.99"/>
    <n v="34"/>
    <x v="0"/>
    <n v="1167.9100000000001"/>
    <n v="1547.26"/>
    <x v="1"/>
    <n v="0.11"/>
    <s v="Bank Transfer"/>
    <x v="0"/>
    <s v="East-David"/>
    <n v="25771.66"/>
    <n v="39708.94"/>
    <n v="-13937.280000000002"/>
    <n v="-0.54079869127561064"/>
    <x v="0"/>
  </r>
  <r>
    <n v="1061"/>
    <d v="2023-01-25T00:00:00"/>
    <x v="3"/>
    <x v="3"/>
    <n v="2375.2800000000002"/>
    <n v="38"/>
    <x v="1"/>
    <n v="4440.8599999999997"/>
    <n v="4506.8099999999904"/>
    <x v="0"/>
    <n v="0.24"/>
    <s v="Bank Transfer"/>
    <x v="0"/>
    <s v="East-Bob"/>
    <n v="90260.640000000014"/>
    <n v="168752.68"/>
    <n v="-78492.039999999979"/>
    <n v="-0.86961537166144587"/>
    <x v="0"/>
  </r>
  <r>
    <n v="1018"/>
    <d v="2023-01-26T00:00:00"/>
    <x v="4"/>
    <x v="3"/>
    <n v="3187.45"/>
    <n v="11"/>
    <x v="0"/>
    <n v="2414.8200000000002"/>
    <n v="2519.0700000000002"/>
    <x v="0"/>
    <n v="0"/>
    <s v="Cash"/>
    <x v="0"/>
    <s v="East-Alice"/>
    <n v="35061.949999999997"/>
    <n v="26563.02"/>
    <n v="8498.9299999999967"/>
    <n v="0.24239752780435764"/>
    <x v="0"/>
  </r>
  <r>
    <n v="1023"/>
    <d v="2023-01-26T00:00:00"/>
    <x v="2"/>
    <x v="0"/>
    <n v="2676.34"/>
    <n v="36"/>
    <x v="0"/>
    <n v="1991.72"/>
    <n v="2329.37"/>
    <x v="1"/>
    <n v="0.28000000000000003"/>
    <s v="Credit Card"/>
    <x v="1"/>
    <s v="North-David"/>
    <n v="96348.24"/>
    <n v="71701.919999999998"/>
    <n v="24646.320000000007"/>
    <n v="0.25580456892622022"/>
    <x v="0"/>
  </r>
  <r>
    <n v="1026"/>
    <d v="2023-01-26T00:00:00"/>
    <x v="2"/>
    <x v="3"/>
    <n v="2195.1999999999998"/>
    <n v="5"/>
    <x v="3"/>
    <n v="4093.61"/>
    <n v="4117.88"/>
    <x v="0"/>
    <n v="0.12"/>
    <s v="Credit Card"/>
    <x v="1"/>
    <s v="East-David"/>
    <n v="10976"/>
    <n v="20468.05"/>
    <n v="-9492.0499999999993"/>
    <n v="-0.86480047376093283"/>
    <x v="0"/>
  </r>
  <r>
    <n v="1016"/>
    <d v="2023-01-27T00:00:00"/>
    <x v="0"/>
    <x v="0"/>
    <n v="2783.85"/>
    <n v="41"/>
    <x v="3"/>
    <n v="3386.49"/>
    <n v="3430.99"/>
    <x v="1"/>
    <n v="0.21"/>
    <s v="Bank Transfer"/>
    <x v="1"/>
    <s v="North-Eve"/>
    <n v="114137.84999999999"/>
    <n v="138846.09"/>
    <n v="-24708.240000000005"/>
    <n v="-0.21647718088259071"/>
    <x v="0"/>
  </r>
  <r>
    <n v="1092"/>
    <d v="2023-01-27T00:00:00"/>
    <x v="2"/>
    <x v="2"/>
    <n v="6939.75"/>
    <n v="26"/>
    <x v="1"/>
    <n v="3697.29"/>
    <n v="4003.96"/>
    <x v="1"/>
    <n v="0.24"/>
    <s v="Cash"/>
    <x v="0"/>
    <s v="West-David"/>
    <n v="180433.5"/>
    <n v="96129.54"/>
    <n v="84303.96"/>
    <n v="0.4672300875391765"/>
    <x v="0"/>
  </r>
  <r>
    <n v="1065"/>
    <d v="2023-01-27T00:00:00"/>
    <x v="3"/>
    <x v="1"/>
    <n v="1621.54"/>
    <n v="12"/>
    <x v="2"/>
    <n v="2035.68"/>
    <n v="2079.64"/>
    <x v="0"/>
    <n v="0.04"/>
    <s v="Cash"/>
    <x v="0"/>
    <s v="South-Bob"/>
    <n v="19458.48"/>
    <n v="24428.16"/>
    <n v="-4969.68"/>
    <n v="-0.25539918842581744"/>
    <x v="0"/>
  </r>
  <r>
    <n v="1034"/>
    <d v="2023-01-27T00:00:00"/>
    <x v="3"/>
    <x v="3"/>
    <n v="414.26"/>
    <n v="38"/>
    <x v="3"/>
    <n v="2729.75"/>
    <n v="3081.5"/>
    <x v="1"/>
    <n v="0.01"/>
    <s v="Bank Transfer"/>
    <x v="0"/>
    <s v="East-Bob"/>
    <n v="15741.88"/>
    <n v="103730.5"/>
    <n v="-87988.62"/>
    <n v="-5.5894607251484576"/>
    <x v="0"/>
  </r>
  <r>
    <n v="1092"/>
    <d v="2023-01-29T00:00:00"/>
    <x v="3"/>
    <x v="1"/>
    <n v="8936.33"/>
    <n v="13"/>
    <x v="0"/>
    <n v="2684.5"/>
    <n v="2913.78"/>
    <x v="1"/>
    <n v="0.08"/>
    <s v="Credit Card"/>
    <x v="1"/>
    <s v="South-Bob"/>
    <n v="116172.29"/>
    <n v="34898.5"/>
    <n v="81273.789999999994"/>
    <n v="0.69959703815772245"/>
    <x v="0"/>
  </r>
  <r>
    <n v="1017"/>
    <d v="2023-01-29T00:00:00"/>
    <x v="1"/>
    <x v="1"/>
    <n v="4882.09"/>
    <n v="19"/>
    <x v="2"/>
    <n v="1233.1199999999999"/>
    <n v="1697.1899999999901"/>
    <x v="1"/>
    <n v="0.1"/>
    <s v="Credit Card"/>
    <x v="0"/>
    <s v="South-Charlie"/>
    <n v="92759.71"/>
    <n v="23429.279999999999"/>
    <n v="69330.430000000008"/>
    <n v="0.74741965019079948"/>
    <x v="0"/>
  </r>
  <r>
    <n v="1042"/>
    <d v="2023-01-29T00:00:00"/>
    <x v="0"/>
    <x v="0"/>
    <n v="9772.3700000000008"/>
    <n v="25"/>
    <x v="3"/>
    <n v="2403.54"/>
    <n v="2850.56"/>
    <x v="1"/>
    <n v="0.13"/>
    <s v="Bank Transfer"/>
    <x v="0"/>
    <s v="North-Eve"/>
    <n v="244309.25000000003"/>
    <n v="60088.5"/>
    <n v="184220.75000000003"/>
    <n v="0.75404738052284148"/>
    <x v="0"/>
  </r>
  <r>
    <n v="1007"/>
    <d v="2023-01-29T00:00:00"/>
    <x v="1"/>
    <x v="2"/>
    <n v="2491.21"/>
    <n v="13"/>
    <x v="1"/>
    <n v="3765.46"/>
    <n v="3860.56"/>
    <x v="0"/>
    <n v="0.22"/>
    <s v="Cash"/>
    <x v="1"/>
    <s v="West-Charlie"/>
    <n v="32385.73"/>
    <n v="48950.98"/>
    <n v="-16565.250000000004"/>
    <n v="-0.51149842847451654"/>
    <x v="0"/>
  </r>
  <r>
    <n v="1009"/>
    <d v="2023-01-29T00:00:00"/>
    <x v="0"/>
    <x v="2"/>
    <n v="182.8"/>
    <n v="16"/>
    <x v="0"/>
    <n v="3745.69"/>
    <n v="3883.77"/>
    <x v="0"/>
    <n v="0.18"/>
    <s v="Bank Transfer"/>
    <x v="1"/>
    <s v="West-Eve"/>
    <n v="2924.8"/>
    <n v="59931.040000000001"/>
    <n v="-57006.239999999998"/>
    <n v="-19.490645514223193"/>
    <x v="0"/>
  </r>
  <r>
    <n v="1018"/>
    <d v="2023-01-29T00:00:00"/>
    <x v="2"/>
    <x v="2"/>
    <n v="6008.83"/>
    <n v="25"/>
    <x v="3"/>
    <n v="4660.82"/>
    <n v="5011.4299999999903"/>
    <x v="1"/>
    <n v="7.0000000000000007E-2"/>
    <s v="Bank Transfer"/>
    <x v="0"/>
    <s v="West-David"/>
    <n v="150220.75"/>
    <n v="116520.5"/>
    <n v="33700.25"/>
    <n v="0.22433818230836952"/>
    <x v="0"/>
  </r>
  <r>
    <n v="1042"/>
    <d v="2023-01-31T00:00:00"/>
    <x v="4"/>
    <x v="0"/>
    <n v="5207.03"/>
    <n v="11"/>
    <x v="3"/>
    <n v="635.20000000000005"/>
    <n v="814.14"/>
    <x v="0"/>
    <n v="0.02"/>
    <s v="Cash"/>
    <x v="0"/>
    <s v="North-Alice"/>
    <n v="57277.329999999994"/>
    <n v="6987.2000000000007"/>
    <n v="50290.12999999999"/>
    <n v="0.87801107349103036"/>
    <x v="0"/>
  </r>
  <r>
    <n v="1057"/>
    <d v="2023-01-31T00:00:00"/>
    <x v="1"/>
    <x v="0"/>
    <n v="975.01"/>
    <n v="36"/>
    <x v="3"/>
    <n v="4995.3"/>
    <n v="5165.09"/>
    <x v="0"/>
    <n v="0.24"/>
    <s v="Cash"/>
    <x v="0"/>
    <s v="North-Charlie"/>
    <n v="35100.36"/>
    <n v="179830.80000000002"/>
    <n v="-144730.44"/>
    <n v="-4.1233320683890424"/>
    <x v="0"/>
  </r>
  <r>
    <n v="1069"/>
    <d v="2023-02-01T00:00:00"/>
    <x v="0"/>
    <x v="0"/>
    <n v="2726.73"/>
    <n v="18"/>
    <x v="1"/>
    <n v="2760.21"/>
    <n v="3219.58"/>
    <x v="1"/>
    <n v="0.27"/>
    <s v="Bank Transfer"/>
    <x v="1"/>
    <s v="North-Eve"/>
    <n v="49081.14"/>
    <n v="49683.78"/>
    <n v="-602.63999999999942"/>
    <n v="-1.2278443410238626E-2"/>
    <x v="1"/>
  </r>
  <r>
    <n v="1097"/>
    <d v="2023-02-01T00:00:00"/>
    <x v="4"/>
    <x v="2"/>
    <n v="1099.68"/>
    <n v="27"/>
    <x v="2"/>
    <n v="3955.19"/>
    <n v="4393.68"/>
    <x v="0"/>
    <n v="0.04"/>
    <s v="Credit Card"/>
    <x v="0"/>
    <s v="West-Alice"/>
    <n v="29691.360000000001"/>
    <n v="106790.13"/>
    <n v="-77098.77"/>
    <n v="-2.5966735777680783"/>
    <x v="1"/>
  </r>
  <r>
    <n v="1096"/>
    <d v="2023-02-02T00:00:00"/>
    <x v="4"/>
    <x v="3"/>
    <n v="9289"/>
    <n v="31"/>
    <x v="2"/>
    <n v="1724.24"/>
    <n v="2036.2"/>
    <x v="1"/>
    <n v="0.17"/>
    <s v="Cash"/>
    <x v="0"/>
    <s v="East-Alice"/>
    <n v="287959"/>
    <n v="53451.44"/>
    <n v="234507.56"/>
    <n v="0.81437829691032404"/>
    <x v="1"/>
  </r>
  <r>
    <n v="1052"/>
    <d v="2023-02-03T00:00:00"/>
    <x v="3"/>
    <x v="0"/>
    <n v="5053.97"/>
    <n v="18"/>
    <x v="1"/>
    <n v="152.75"/>
    <n v="267.22000000000003"/>
    <x v="0"/>
    <n v="0.09"/>
    <s v="Cash"/>
    <x v="0"/>
    <s v="North-Bob"/>
    <n v="90971.46"/>
    <n v="2749.5"/>
    <n v="88221.96"/>
    <n v="0.9697762353159991"/>
    <x v="1"/>
  </r>
  <r>
    <n v="1013"/>
    <d v="2023-02-03T00:00:00"/>
    <x v="3"/>
    <x v="0"/>
    <n v="6520.2"/>
    <n v="42"/>
    <x v="0"/>
    <n v="4625.33"/>
    <n v="4642.83"/>
    <x v="1"/>
    <n v="0.19"/>
    <s v="Credit Card"/>
    <x v="0"/>
    <s v="North-Bob"/>
    <n v="273848.39999999997"/>
    <n v="194263.86"/>
    <n v="79584.539999999979"/>
    <n v="0.29061531854851075"/>
    <x v="1"/>
  </r>
  <r>
    <n v="1035"/>
    <d v="2023-02-03T00:00:00"/>
    <x v="1"/>
    <x v="0"/>
    <n v="1736.32"/>
    <n v="5"/>
    <x v="3"/>
    <n v="4483.8500000000004"/>
    <n v="4795.42"/>
    <x v="0"/>
    <n v="0.23"/>
    <s v="Cash"/>
    <x v="0"/>
    <s v="North-Charlie"/>
    <n v="8681.6"/>
    <n v="22419.25"/>
    <n v="-13737.65"/>
    <n v="-1.5823868872097309"/>
    <x v="1"/>
  </r>
  <r>
    <n v="1026"/>
    <d v="2023-02-04T00:00:00"/>
    <x v="4"/>
    <x v="2"/>
    <n v="1554.93"/>
    <n v="19"/>
    <x v="2"/>
    <n v="1265.48"/>
    <n v="1715.83"/>
    <x v="1"/>
    <n v="0.05"/>
    <s v="Credit Card"/>
    <x v="1"/>
    <s v="West-Alice"/>
    <n v="29543.670000000002"/>
    <n v="24044.12"/>
    <n v="5499.5500000000029"/>
    <n v="0.18614985883608917"/>
    <x v="1"/>
  </r>
  <r>
    <n v="1038"/>
    <d v="2023-02-04T00:00:00"/>
    <x v="1"/>
    <x v="0"/>
    <n v="8753.31"/>
    <n v="7"/>
    <x v="1"/>
    <n v="523.02"/>
    <n v="686.25"/>
    <x v="0"/>
    <n v="0.04"/>
    <s v="Cash"/>
    <x v="0"/>
    <s v="North-Charlie"/>
    <n v="61273.17"/>
    <n v="3661.14"/>
    <n v="57612.03"/>
    <n v="0.9402488887061009"/>
    <x v="1"/>
  </r>
  <r>
    <n v="1080"/>
    <d v="2023-02-05T00:00:00"/>
    <x v="1"/>
    <x v="1"/>
    <n v="245.46"/>
    <n v="9"/>
    <x v="2"/>
    <n v="1141.52"/>
    <n v="1550.19"/>
    <x v="1"/>
    <n v="0.28000000000000003"/>
    <s v="Credit Card"/>
    <x v="1"/>
    <s v="South-Charlie"/>
    <n v="2209.14"/>
    <n v="10273.68"/>
    <n v="-8064.5400000000009"/>
    <n v="-3.6505336918438855"/>
    <x v="1"/>
  </r>
  <r>
    <n v="1048"/>
    <d v="2023-02-05T00:00:00"/>
    <x v="2"/>
    <x v="0"/>
    <n v="9070.26"/>
    <n v="42"/>
    <x v="2"/>
    <n v="4723.83"/>
    <n v="5186.1899999999996"/>
    <x v="0"/>
    <n v="0.22"/>
    <s v="Credit Card"/>
    <x v="0"/>
    <s v="North-David"/>
    <n v="380950.92"/>
    <n v="198400.86"/>
    <n v="182550.06"/>
    <n v="0.47919574521568292"/>
    <x v="1"/>
  </r>
  <r>
    <n v="1030"/>
    <d v="2023-02-05T00:00:00"/>
    <x v="2"/>
    <x v="3"/>
    <n v="236.08"/>
    <n v="49"/>
    <x v="1"/>
    <n v="2590.29"/>
    <n v="2925.86"/>
    <x v="0"/>
    <n v="0.26"/>
    <s v="Cash"/>
    <x v="1"/>
    <s v="East-David"/>
    <n v="11567.92"/>
    <n v="126924.20999999999"/>
    <n v="-115356.29"/>
    <n v="-9.9720857336496103"/>
    <x v="1"/>
  </r>
  <r>
    <n v="1036"/>
    <d v="2023-02-06T00:00:00"/>
    <x v="1"/>
    <x v="3"/>
    <n v="6242.69"/>
    <n v="26"/>
    <x v="2"/>
    <n v="4266.3599999999997"/>
    <n v="4331.4299999999903"/>
    <x v="0"/>
    <n v="0.14000000000000001"/>
    <s v="Credit Card"/>
    <x v="1"/>
    <s v="East-Charlie"/>
    <n v="162309.94"/>
    <n v="110925.35999999999"/>
    <n v="51384.580000000016"/>
    <n v="0.31658307556518112"/>
    <x v="1"/>
  </r>
  <r>
    <n v="1027"/>
    <d v="2023-02-06T00:00:00"/>
    <x v="0"/>
    <x v="2"/>
    <n v="3668.23"/>
    <n v="45"/>
    <x v="3"/>
    <n v="1153.9000000000001"/>
    <n v="1485.34"/>
    <x v="1"/>
    <n v="0.25"/>
    <s v="Credit Card"/>
    <x v="1"/>
    <s v="West-Eve"/>
    <n v="165070.35"/>
    <n v="51925.500000000007"/>
    <n v="113144.85"/>
    <n v="0.68543411945270605"/>
    <x v="1"/>
  </r>
  <r>
    <n v="1026"/>
    <d v="2023-02-06T00:00:00"/>
    <x v="3"/>
    <x v="2"/>
    <n v="961.47"/>
    <n v="34"/>
    <x v="2"/>
    <n v="68.33"/>
    <n v="219.07999999999899"/>
    <x v="1"/>
    <n v="0.02"/>
    <s v="Credit Card"/>
    <x v="0"/>
    <s v="West-Bob"/>
    <n v="32689.98"/>
    <n v="2323.2199999999998"/>
    <n v="30366.76"/>
    <n v="0.92893173993988365"/>
    <x v="1"/>
  </r>
  <r>
    <n v="1081"/>
    <d v="2023-02-07T00:00:00"/>
    <x v="2"/>
    <x v="3"/>
    <n v="3068.03"/>
    <n v="41"/>
    <x v="1"/>
    <n v="2782.08"/>
    <n v="2879.24"/>
    <x v="1"/>
    <n v="0.21"/>
    <s v="Bank Transfer"/>
    <x v="0"/>
    <s v="East-David"/>
    <n v="125789.23000000001"/>
    <n v="114065.28"/>
    <n v="11723.950000000012"/>
    <n v="9.3203130347486909E-2"/>
    <x v="1"/>
  </r>
  <r>
    <n v="1072"/>
    <d v="2023-02-07T00:00:00"/>
    <x v="3"/>
    <x v="3"/>
    <n v="5490.38"/>
    <n v="26"/>
    <x v="3"/>
    <n v="3640.17"/>
    <n v="4002.63"/>
    <x v="1"/>
    <n v="0.05"/>
    <s v="Credit Card"/>
    <x v="1"/>
    <s v="East-Bob"/>
    <n v="142749.88"/>
    <n v="94644.42"/>
    <n v="48105.460000000006"/>
    <n v="0.33699124650752776"/>
    <x v="1"/>
  </r>
  <r>
    <n v="1077"/>
    <d v="2023-02-07T00:00:00"/>
    <x v="0"/>
    <x v="2"/>
    <n v="9605.34"/>
    <n v="12"/>
    <x v="0"/>
    <n v="2427.46"/>
    <n v="2743.09"/>
    <x v="1"/>
    <n v="0.28999999999999998"/>
    <s v="Credit Card"/>
    <x v="1"/>
    <s v="West-Eve"/>
    <n v="115264.08"/>
    <n v="29129.52"/>
    <n v="86134.56"/>
    <n v="0.7472801587450314"/>
    <x v="1"/>
  </r>
  <r>
    <n v="1027"/>
    <d v="2023-02-07T00:00:00"/>
    <x v="3"/>
    <x v="2"/>
    <n v="7896.74"/>
    <n v="3"/>
    <x v="3"/>
    <n v="999.09"/>
    <n v="1271.99"/>
    <x v="1"/>
    <n v="0.15"/>
    <s v="Credit Card"/>
    <x v="0"/>
    <s v="West-Bob"/>
    <n v="23690.22"/>
    <n v="2997.27"/>
    <n v="20692.95"/>
    <n v="0.87348070216317109"/>
    <x v="1"/>
  </r>
  <r>
    <n v="1017"/>
    <d v="2023-02-07T00:00:00"/>
    <x v="1"/>
    <x v="2"/>
    <n v="7542.3"/>
    <n v="2"/>
    <x v="3"/>
    <n v="728.41"/>
    <n v="1094.92"/>
    <x v="1"/>
    <n v="0.24"/>
    <s v="Cash"/>
    <x v="1"/>
    <s v="West-Charlie"/>
    <n v="15084.6"/>
    <n v="1456.82"/>
    <n v="13627.78"/>
    <n v="0.90342335892234471"/>
    <x v="1"/>
  </r>
  <r>
    <n v="1078"/>
    <d v="2023-02-08T00:00:00"/>
    <x v="4"/>
    <x v="1"/>
    <n v="9813.32"/>
    <n v="49"/>
    <x v="1"/>
    <n v="3026.85"/>
    <n v="3183.58"/>
    <x v="0"/>
    <n v="0.25"/>
    <s v="Cash"/>
    <x v="1"/>
    <s v="South-Alice"/>
    <n v="480852.68"/>
    <n v="148315.65"/>
    <n v="332537.03000000003"/>
    <n v="0.69155698581112213"/>
    <x v="1"/>
  </r>
  <r>
    <n v="1048"/>
    <d v="2023-02-08T00:00:00"/>
    <x v="1"/>
    <x v="2"/>
    <n v="7454.53"/>
    <n v="27"/>
    <x v="0"/>
    <n v="3197.76"/>
    <n v="3572.61"/>
    <x v="0"/>
    <n v="0.08"/>
    <s v="Credit Card"/>
    <x v="0"/>
    <s v="West-Charlie"/>
    <n v="201272.31"/>
    <n v="86339.520000000004"/>
    <n v="114932.79"/>
    <n v="0.57103130579660955"/>
    <x v="1"/>
  </r>
  <r>
    <n v="1033"/>
    <d v="2023-02-08T00:00:00"/>
    <x v="0"/>
    <x v="0"/>
    <n v="8395.2900000000009"/>
    <n v="39"/>
    <x v="2"/>
    <n v="4232.8100000000004"/>
    <n v="4345.25"/>
    <x v="0"/>
    <n v="0.12"/>
    <s v="Bank Transfer"/>
    <x v="0"/>
    <s v="North-Eve"/>
    <n v="327416.31000000006"/>
    <n v="165079.59000000003"/>
    <n v="162336.72000000003"/>
    <n v="0.49581134183571979"/>
    <x v="1"/>
  </r>
  <r>
    <n v="1090"/>
    <d v="2023-02-08T00:00:00"/>
    <x v="1"/>
    <x v="0"/>
    <n v="1740.91"/>
    <n v="44"/>
    <x v="0"/>
    <n v="3542.18"/>
    <n v="3578.49"/>
    <x v="0"/>
    <n v="0.12"/>
    <s v="Cash"/>
    <x v="0"/>
    <s v="North-Charlie"/>
    <n v="76600.040000000008"/>
    <n v="155855.91999999998"/>
    <n v="-79255.879999999976"/>
    <n v="-1.0346715223647398"/>
    <x v="1"/>
  </r>
  <r>
    <n v="1015"/>
    <d v="2023-02-08T00:00:00"/>
    <x v="1"/>
    <x v="3"/>
    <n v="2669.81"/>
    <n v="23"/>
    <x v="2"/>
    <n v="2644.77"/>
    <n v="2684.83"/>
    <x v="1"/>
    <n v="0.24"/>
    <s v="Cash"/>
    <x v="0"/>
    <s v="East-Charlie"/>
    <n v="61405.63"/>
    <n v="60829.71"/>
    <n v="575.91999999999825"/>
    <n v="9.3789445690891579E-3"/>
    <x v="1"/>
  </r>
  <r>
    <n v="1027"/>
    <d v="2023-02-08T00:00:00"/>
    <x v="4"/>
    <x v="2"/>
    <n v="7179.49"/>
    <n v="20"/>
    <x v="2"/>
    <n v="1748.11"/>
    <n v="2220.9"/>
    <x v="1"/>
    <n v="0.23"/>
    <s v="Credit Card"/>
    <x v="1"/>
    <s v="West-Alice"/>
    <n v="143589.79999999999"/>
    <n v="34962.199999999997"/>
    <n v="108627.59999999999"/>
    <n v="0.75651334565547135"/>
    <x v="1"/>
  </r>
  <r>
    <n v="1092"/>
    <d v="2023-02-09T00:00:00"/>
    <x v="2"/>
    <x v="2"/>
    <n v="2749.17"/>
    <n v="34"/>
    <x v="1"/>
    <n v="2037.41"/>
    <n v="2238.65"/>
    <x v="1"/>
    <n v="0.3"/>
    <s v="Credit Card"/>
    <x v="0"/>
    <s v="West-David"/>
    <n v="93471.78"/>
    <n v="69271.94"/>
    <n v="24199.839999999997"/>
    <n v="0.25889995889668516"/>
    <x v="1"/>
  </r>
  <r>
    <n v="1046"/>
    <d v="2023-02-09T00:00:00"/>
    <x v="1"/>
    <x v="3"/>
    <n v="9709.7000000000007"/>
    <n v="3"/>
    <x v="1"/>
    <n v="1216.1600000000001"/>
    <n v="1295.3699999999999"/>
    <x v="1"/>
    <n v="0.14000000000000001"/>
    <s v="Cash"/>
    <x v="1"/>
    <s v="East-Charlie"/>
    <n v="29129.100000000002"/>
    <n v="3648.4800000000005"/>
    <n v="25480.620000000003"/>
    <n v="0.87474793247989124"/>
    <x v="1"/>
  </r>
  <r>
    <n v="1038"/>
    <d v="2023-02-09T00:00:00"/>
    <x v="4"/>
    <x v="3"/>
    <n v="5529.35"/>
    <n v="16"/>
    <x v="1"/>
    <n v="3899.7"/>
    <n v="4228.18"/>
    <x v="1"/>
    <n v="0.27"/>
    <s v="Cash"/>
    <x v="1"/>
    <s v="East-Alice"/>
    <n v="88469.6"/>
    <n v="62395.199999999997"/>
    <n v="26074.400000000009"/>
    <n v="0.2947272283360613"/>
    <x v="1"/>
  </r>
  <r>
    <n v="1039"/>
    <d v="2023-02-09T00:00:00"/>
    <x v="2"/>
    <x v="1"/>
    <n v="9091.4599999999991"/>
    <n v="20"/>
    <x v="3"/>
    <n v="2014.11"/>
    <n v="2056.35"/>
    <x v="0"/>
    <n v="0.21"/>
    <s v="Bank Transfer"/>
    <x v="1"/>
    <s v="South-David"/>
    <n v="181829.19999999998"/>
    <n v="40282.199999999997"/>
    <n v="141547"/>
    <n v="0.77846132524369027"/>
    <x v="1"/>
  </r>
  <r>
    <n v="1092"/>
    <d v="2023-02-09T00:00:00"/>
    <x v="4"/>
    <x v="1"/>
    <n v="7192.33"/>
    <n v="14"/>
    <x v="0"/>
    <n v="3586.58"/>
    <n v="4068.43"/>
    <x v="1"/>
    <n v="0.22"/>
    <s v="Credit Card"/>
    <x v="0"/>
    <s v="South-Alice"/>
    <n v="100692.62"/>
    <n v="50212.119999999995"/>
    <n v="50480.5"/>
    <n v="0.50133266966337753"/>
    <x v="1"/>
  </r>
  <r>
    <n v="1020"/>
    <d v="2023-02-09T00:00:00"/>
    <x v="1"/>
    <x v="3"/>
    <n v="2102.3200000000002"/>
    <n v="29"/>
    <x v="2"/>
    <n v="184.05"/>
    <n v="675.91"/>
    <x v="0"/>
    <n v="0.1"/>
    <s v="Cash"/>
    <x v="1"/>
    <s v="East-Charlie"/>
    <n v="60967.280000000006"/>
    <n v="5337.4500000000007"/>
    <n v="55629.83"/>
    <n v="0.91245386049697474"/>
    <x v="1"/>
  </r>
  <r>
    <n v="1024"/>
    <d v="2023-02-10T00:00:00"/>
    <x v="2"/>
    <x v="3"/>
    <n v="6274.12"/>
    <n v="13"/>
    <x v="0"/>
    <n v="1493.88"/>
    <n v="1781.09"/>
    <x v="1"/>
    <n v="0.04"/>
    <s v="Cash"/>
    <x v="1"/>
    <s v="East-David"/>
    <n v="81563.56"/>
    <n v="19420.440000000002"/>
    <n v="62143.119999999995"/>
    <n v="0.76189808291840122"/>
    <x v="1"/>
  </r>
  <r>
    <n v="1056"/>
    <d v="2023-02-10T00:00:00"/>
    <x v="3"/>
    <x v="2"/>
    <n v="3063.9"/>
    <n v="42"/>
    <x v="1"/>
    <n v="1080.1199999999999"/>
    <n v="1424.1699999999901"/>
    <x v="1"/>
    <n v="0.1"/>
    <s v="Cash"/>
    <x v="0"/>
    <s v="West-Bob"/>
    <n v="128683.8"/>
    <n v="45365.039999999994"/>
    <n v="83318.760000000009"/>
    <n v="0.64746891217076286"/>
    <x v="1"/>
  </r>
  <r>
    <n v="1092"/>
    <d v="2023-02-10T00:00:00"/>
    <x v="3"/>
    <x v="3"/>
    <n v="5426.42"/>
    <n v="47"/>
    <x v="1"/>
    <n v="3681.53"/>
    <n v="4076.96"/>
    <x v="0"/>
    <n v="0.17"/>
    <s v="Cash"/>
    <x v="1"/>
    <s v="East-Bob"/>
    <n v="255041.74"/>
    <n v="173031.91"/>
    <n v="82009.829999999987"/>
    <n v="0.32155454240549014"/>
    <x v="1"/>
  </r>
  <r>
    <n v="1021"/>
    <d v="2023-02-11T00:00:00"/>
    <x v="1"/>
    <x v="2"/>
    <n v="3761.15"/>
    <n v="32"/>
    <x v="3"/>
    <n v="900.79"/>
    <n v="1106.51"/>
    <x v="1"/>
    <n v="0.21"/>
    <s v="Cash"/>
    <x v="0"/>
    <s v="West-Charlie"/>
    <n v="120356.8"/>
    <n v="28825.279999999999"/>
    <n v="91531.520000000004"/>
    <n v="0.76050144237799611"/>
    <x v="1"/>
  </r>
  <r>
    <n v="1028"/>
    <d v="2023-02-11T00:00:00"/>
    <x v="4"/>
    <x v="3"/>
    <n v="2819.57"/>
    <n v="24"/>
    <x v="0"/>
    <n v="2521.0300000000002"/>
    <n v="2766.05"/>
    <x v="0"/>
    <n v="0.16"/>
    <s v="Bank Transfer"/>
    <x v="1"/>
    <s v="East-Alice"/>
    <n v="67669.680000000008"/>
    <n v="60504.72"/>
    <n v="7164.9600000000064"/>
    <n v="0.10588139326209324"/>
    <x v="1"/>
  </r>
  <r>
    <n v="1014"/>
    <d v="2023-02-11T00:00:00"/>
    <x v="2"/>
    <x v="2"/>
    <n v="823.51"/>
    <n v="44"/>
    <x v="3"/>
    <n v="2257.48"/>
    <n v="2747.81"/>
    <x v="0"/>
    <n v="0.27"/>
    <s v="Cash"/>
    <x v="0"/>
    <s v="West-David"/>
    <n v="36234.44"/>
    <n v="99329.12"/>
    <n v="-63094.679999999993"/>
    <n v="-1.741290330414931"/>
    <x v="1"/>
  </r>
  <r>
    <n v="1050"/>
    <d v="2023-02-11T00:00:00"/>
    <x v="1"/>
    <x v="2"/>
    <n v="1011.46"/>
    <n v="48"/>
    <x v="1"/>
    <n v="710.06"/>
    <n v="851.349999999999"/>
    <x v="0"/>
    <n v="0.04"/>
    <s v="Bank Transfer"/>
    <x v="0"/>
    <s v="West-Charlie"/>
    <n v="48550.080000000002"/>
    <n v="34082.879999999997"/>
    <n v="14467.200000000004"/>
    <n v="0.29798509085875868"/>
    <x v="1"/>
  </r>
  <r>
    <n v="1034"/>
    <d v="2023-02-11T00:00:00"/>
    <x v="0"/>
    <x v="1"/>
    <n v="2082.79"/>
    <n v="26"/>
    <x v="2"/>
    <n v="667"/>
    <n v="718.72"/>
    <x v="1"/>
    <n v="0.2"/>
    <s v="Cash"/>
    <x v="1"/>
    <s v="South-Eve"/>
    <n v="54152.54"/>
    <n v="17342"/>
    <n v="36810.54"/>
    <n v="0.67975648049011184"/>
    <x v="1"/>
  </r>
  <r>
    <n v="1076"/>
    <d v="2023-02-13T00:00:00"/>
    <x v="0"/>
    <x v="0"/>
    <n v="6697.98"/>
    <n v="17"/>
    <x v="0"/>
    <n v="604.08000000000004"/>
    <n v="624.71"/>
    <x v="1"/>
    <n v="0.14000000000000001"/>
    <s v="Bank Transfer"/>
    <x v="1"/>
    <s v="North-Eve"/>
    <n v="113865.65999999999"/>
    <n v="10269.36"/>
    <n v="103596.29999999999"/>
    <n v="0.90981161484507267"/>
    <x v="1"/>
  </r>
  <r>
    <n v="1044"/>
    <d v="2023-02-14T00:00:00"/>
    <x v="2"/>
    <x v="2"/>
    <n v="9396.7800000000007"/>
    <n v="12"/>
    <x v="2"/>
    <n v="2221.31"/>
    <n v="2494.48"/>
    <x v="0"/>
    <n v="0.22"/>
    <s v="Bank Transfer"/>
    <x v="0"/>
    <s v="West-David"/>
    <n v="112761.36000000002"/>
    <n v="26655.72"/>
    <n v="86105.640000000014"/>
    <n v="0.76360944919429852"/>
    <x v="1"/>
  </r>
  <r>
    <n v="1099"/>
    <d v="2023-02-14T00:00:00"/>
    <x v="2"/>
    <x v="1"/>
    <n v="7802.45"/>
    <n v="32"/>
    <x v="0"/>
    <n v="1517.86"/>
    <n v="1948.46"/>
    <x v="1"/>
    <n v="0.02"/>
    <s v="Credit Card"/>
    <x v="0"/>
    <s v="South-David"/>
    <n v="249678.4"/>
    <n v="48571.519999999997"/>
    <n v="201106.88"/>
    <n v="0.80546366846311102"/>
    <x v="1"/>
  </r>
  <r>
    <n v="1025"/>
    <d v="2023-02-15T00:00:00"/>
    <x v="2"/>
    <x v="1"/>
    <n v="4140.7"/>
    <n v="45"/>
    <x v="0"/>
    <n v="1588.04"/>
    <n v="1703.6399999999901"/>
    <x v="1"/>
    <n v="0.2"/>
    <s v="Bank Transfer"/>
    <x v="1"/>
    <s v="South-David"/>
    <n v="186331.5"/>
    <n v="71461.8"/>
    <n v="114869.7"/>
    <n v="0.61648030526239528"/>
    <x v="1"/>
  </r>
  <r>
    <n v="1074"/>
    <d v="2023-02-15T00:00:00"/>
    <x v="4"/>
    <x v="1"/>
    <n v="3320.38"/>
    <n v="31"/>
    <x v="1"/>
    <n v="1138.32"/>
    <n v="1266.25"/>
    <x v="0"/>
    <n v="0.14000000000000001"/>
    <s v="Cash"/>
    <x v="1"/>
    <s v="South-Alice"/>
    <n v="102931.78"/>
    <n v="35287.919999999998"/>
    <n v="67643.86"/>
    <n v="0.65717176949626244"/>
    <x v="1"/>
  </r>
  <r>
    <n v="1094"/>
    <d v="2023-02-15T00:00:00"/>
    <x v="1"/>
    <x v="1"/>
    <n v="8643.67"/>
    <n v="47"/>
    <x v="3"/>
    <n v="3450.36"/>
    <n v="3557.38"/>
    <x v="1"/>
    <n v="0.2"/>
    <s v="Credit Card"/>
    <x v="0"/>
    <s v="South-Charlie"/>
    <n v="406252.49"/>
    <n v="162166.92000000001"/>
    <n v="244085.56999999998"/>
    <n v="0.60082233588279044"/>
    <x v="1"/>
  </r>
  <r>
    <n v="1074"/>
    <d v="2023-02-15T00:00:00"/>
    <x v="3"/>
    <x v="2"/>
    <n v="1383.82"/>
    <n v="1"/>
    <x v="1"/>
    <n v="1304.23"/>
    <n v="1705.71"/>
    <x v="0"/>
    <n v="0.01"/>
    <s v="Cash"/>
    <x v="1"/>
    <s v="West-Bob"/>
    <n v="1383.82"/>
    <n v="1304.23"/>
    <n v="79.589999999999918"/>
    <n v="5.7514705669812489E-2"/>
    <x v="1"/>
  </r>
  <r>
    <n v="1044"/>
    <d v="2023-02-16T00:00:00"/>
    <x v="2"/>
    <x v="1"/>
    <n v="7754.1"/>
    <n v="22"/>
    <x v="3"/>
    <n v="3373.46"/>
    <n v="3454.76"/>
    <x v="0"/>
    <n v="0.22"/>
    <s v="Bank Transfer"/>
    <x v="1"/>
    <s v="South-David"/>
    <n v="170590.2"/>
    <n v="74216.12"/>
    <n v="96374.080000000016"/>
    <n v="0.56494499684038124"/>
    <x v="1"/>
  </r>
  <r>
    <n v="1028"/>
    <d v="2023-02-16T00:00:00"/>
    <x v="3"/>
    <x v="3"/>
    <n v="4344.1499999999996"/>
    <n v="24"/>
    <x v="2"/>
    <n v="1969.09"/>
    <n v="2241.96"/>
    <x v="0"/>
    <n v="0.02"/>
    <s v="Credit Card"/>
    <x v="0"/>
    <s v="East-Bob"/>
    <n v="104259.59999999999"/>
    <n v="47258.159999999996"/>
    <n v="57001.439999999995"/>
    <n v="0.54672605688109299"/>
    <x v="1"/>
  </r>
  <r>
    <n v="1010"/>
    <d v="2023-02-16T00:00:00"/>
    <x v="2"/>
    <x v="3"/>
    <n v="1678.97"/>
    <n v="47"/>
    <x v="1"/>
    <n v="2265.38"/>
    <n v="2429.9299999999998"/>
    <x v="0"/>
    <n v="0.06"/>
    <s v="Bank Transfer"/>
    <x v="0"/>
    <s v="East-David"/>
    <n v="78911.59"/>
    <n v="106472.86"/>
    <n v="-27561.270000000004"/>
    <n v="-0.34926770579581534"/>
    <x v="1"/>
  </r>
  <r>
    <n v="1053"/>
    <d v="2023-02-16T00:00:00"/>
    <x v="0"/>
    <x v="2"/>
    <n v="3939.48"/>
    <n v="11"/>
    <x v="1"/>
    <n v="1582.86"/>
    <n v="1942.55"/>
    <x v="1"/>
    <n v="0.17"/>
    <s v="Credit Card"/>
    <x v="1"/>
    <s v="West-Eve"/>
    <n v="43334.28"/>
    <n v="17411.46"/>
    <n v="25922.82"/>
    <n v="0.59820585457979225"/>
    <x v="1"/>
  </r>
  <r>
    <n v="1001"/>
    <d v="2023-02-18T00:00:00"/>
    <x v="2"/>
    <x v="2"/>
    <n v="7154.95"/>
    <n v="27"/>
    <x v="0"/>
    <n v="939.02"/>
    <n v="1286.92"/>
    <x v="0"/>
    <n v="7.0000000000000007E-2"/>
    <s v="Credit Card"/>
    <x v="1"/>
    <s v="West-David"/>
    <n v="193183.65"/>
    <n v="25353.54"/>
    <n v="167830.11"/>
    <n v="0.86875939035213379"/>
    <x v="1"/>
  </r>
  <r>
    <n v="1007"/>
    <d v="2023-02-18T00:00:00"/>
    <x v="4"/>
    <x v="1"/>
    <n v="876.71"/>
    <n v="34"/>
    <x v="0"/>
    <n v="1921.07"/>
    <n v="2289.27"/>
    <x v="0"/>
    <n v="7.0000000000000007E-2"/>
    <s v="Bank Transfer"/>
    <x v="1"/>
    <s v="South-Alice"/>
    <n v="29808.14"/>
    <n v="65316.38"/>
    <n v="-35508.239999999998"/>
    <n v="-1.1912262891948306"/>
    <x v="1"/>
  </r>
  <r>
    <n v="1003"/>
    <d v="2023-02-19T00:00:00"/>
    <x v="4"/>
    <x v="3"/>
    <n v="937.2"/>
    <n v="45"/>
    <x v="2"/>
    <n v="4974.1400000000003"/>
    <n v="5227.93"/>
    <x v="1"/>
    <n v="0.21"/>
    <s v="Bank Transfer"/>
    <x v="0"/>
    <s v="East-Alice"/>
    <n v="42174"/>
    <n v="223836.30000000002"/>
    <n v="-181662.30000000002"/>
    <n v="-4.3074477166026464"/>
    <x v="1"/>
  </r>
  <r>
    <n v="1084"/>
    <d v="2023-02-19T00:00:00"/>
    <x v="2"/>
    <x v="2"/>
    <n v="2154.66"/>
    <n v="35"/>
    <x v="3"/>
    <n v="465.61"/>
    <n v="812.91"/>
    <x v="1"/>
    <n v="0.16"/>
    <s v="Bank Transfer"/>
    <x v="0"/>
    <s v="West-David"/>
    <n v="75413.099999999991"/>
    <n v="16296.35"/>
    <n v="59116.749999999993"/>
    <n v="0.7839055813910315"/>
    <x v="1"/>
  </r>
  <r>
    <n v="1002"/>
    <d v="2023-02-20T00:00:00"/>
    <x v="1"/>
    <x v="2"/>
    <n v="9469.92"/>
    <n v="26"/>
    <x v="3"/>
    <n v="508.94"/>
    <n v="557.69000000000005"/>
    <x v="1"/>
    <n v="0.22"/>
    <s v="Credit Card"/>
    <x v="1"/>
    <s v="West-Charlie"/>
    <n v="246217.92"/>
    <n v="13232.44"/>
    <n v="232985.48"/>
    <n v="0.94625720175038441"/>
    <x v="1"/>
  </r>
  <r>
    <n v="1017"/>
    <d v="2023-02-20T00:00:00"/>
    <x v="1"/>
    <x v="0"/>
    <n v="8189.57"/>
    <n v="16"/>
    <x v="1"/>
    <n v="102.23"/>
    <n v="167.12"/>
    <x v="1"/>
    <n v="0.04"/>
    <s v="Credit Card"/>
    <x v="1"/>
    <s v="North-Charlie"/>
    <n v="131033.12"/>
    <n v="1635.68"/>
    <n v="129397.44"/>
    <n v="0.98751704912467941"/>
    <x v="1"/>
  </r>
  <r>
    <n v="1049"/>
    <d v="2023-02-21T00:00:00"/>
    <x v="4"/>
    <x v="3"/>
    <n v="783.55"/>
    <n v="31"/>
    <x v="2"/>
    <n v="3570.24"/>
    <n v="3712.25"/>
    <x v="1"/>
    <n v="0.03"/>
    <s v="Credit Card"/>
    <x v="0"/>
    <s v="East-Alice"/>
    <n v="24290.05"/>
    <n v="110677.43999999999"/>
    <n v="-86387.389999999985"/>
    <n v="-3.5564928849467163"/>
    <x v="1"/>
  </r>
  <r>
    <n v="1046"/>
    <d v="2023-02-22T00:00:00"/>
    <x v="4"/>
    <x v="1"/>
    <n v="3391.32"/>
    <n v="46"/>
    <x v="0"/>
    <n v="2551.56"/>
    <n v="2841.68"/>
    <x v="1"/>
    <n v="0.09"/>
    <s v="Bank Transfer"/>
    <x v="1"/>
    <s v="South-Alice"/>
    <n v="156000.72"/>
    <n v="117371.76"/>
    <n v="38628.960000000006"/>
    <n v="0.2476203955981742"/>
    <x v="1"/>
  </r>
  <r>
    <n v="1048"/>
    <d v="2023-02-23T00:00:00"/>
    <x v="3"/>
    <x v="2"/>
    <n v="7066.63"/>
    <n v="47"/>
    <x v="3"/>
    <n v="4535.8599999999997"/>
    <n v="4641.41"/>
    <x v="1"/>
    <n v="0.27"/>
    <s v="Credit Card"/>
    <x v="1"/>
    <s v="West-Bob"/>
    <n v="332131.61"/>
    <n v="213185.41999999998"/>
    <n v="118946.19"/>
    <n v="0.35812968840876064"/>
    <x v="1"/>
  </r>
  <r>
    <n v="1100"/>
    <d v="2023-02-23T00:00:00"/>
    <x v="0"/>
    <x v="0"/>
    <n v="849.43"/>
    <n v="43"/>
    <x v="1"/>
    <n v="2116.09"/>
    <n v="2472.98"/>
    <x v="1"/>
    <n v="0.01"/>
    <s v="Credit Card"/>
    <x v="1"/>
    <s v="North-Eve"/>
    <n v="36525.49"/>
    <n v="90991.87000000001"/>
    <n v="-54466.380000000012"/>
    <n v="-1.4911882085633901"/>
    <x v="1"/>
  </r>
  <r>
    <n v="1068"/>
    <d v="2023-02-24T00:00:00"/>
    <x v="3"/>
    <x v="0"/>
    <n v="5118.51"/>
    <n v="22"/>
    <x v="0"/>
    <n v="3619.61"/>
    <n v="3651.42"/>
    <x v="0"/>
    <n v="0.26"/>
    <s v="Bank Transfer"/>
    <x v="0"/>
    <s v="North-Bob"/>
    <n v="112607.22"/>
    <n v="79631.42"/>
    <n v="32975.800000000003"/>
    <n v="0.29283912701157178"/>
    <x v="1"/>
  </r>
  <r>
    <n v="1099"/>
    <d v="2023-02-24T00:00:00"/>
    <x v="2"/>
    <x v="3"/>
    <n v="8090"/>
    <n v="35"/>
    <x v="0"/>
    <n v="2610.19"/>
    <n v="2682.53"/>
    <x v="1"/>
    <n v="0.14000000000000001"/>
    <s v="Cash"/>
    <x v="1"/>
    <s v="East-David"/>
    <n v="283150"/>
    <n v="91356.650000000009"/>
    <n v="191793.34999999998"/>
    <n v="0.67735599505562416"/>
    <x v="1"/>
  </r>
  <r>
    <n v="1054"/>
    <d v="2023-02-24T00:00:00"/>
    <x v="4"/>
    <x v="0"/>
    <n v="5664.52"/>
    <n v="43"/>
    <x v="3"/>
    <n v="2124.7199999999998"/>
    <n v="2188.66"/>
    <x v="0"/>
    <n v="0.03"/>
    <s v="Credit Card"/>
    <x v="1"/>
    <s v="North-Alice"/>
    <n v="243574.36000000002"/>
    <n v="91362.959999999992"/>
    <n v="152211.40000000002"/>
    <n v="0.62490731783099018"/>
    <x v="1"/>
  </r>
  <r>
    <n v="1094"/>
    <d v="2023-02-24T00:00:00"/>
    <x v="3"/>
    <x v="2"/>
    <n v="6171.59"/>
    <n v="7"/>
    <x v="1"/>
    <n v="4122.38"/>
    <n v="4358.78"/>
    <x v="0"/>
    <n v="0.26"/>
    <s v="Bank Transfer"/>
    <x v="1"/>
    <s v="West-Bob"/>
    <n v="43201.130000000005"/>
    <n v="28856.66"/>
    <n v="14344.470000000005"/>
    <n v="0.33203923138121627"/>
    <x v="1"/>
  </r>
  <r>
    <n v="1008"/>
    <d v="2023-02-24T00:00:00"/>
    <x v="0"/>
    <x v="2"/>
    <n v="5751.69"/>
    <n v="22"/>
    <x v="2"/>
    <n v="2269.3200000000002"/>
    <n v="2365.35"/>
    <x v="1"/>
    <n v="0.03"/>
    <s v="Cash"/>
    <x v="1"/>
    <s v="West-Eve"/>
    <n v="126537.18"/>
    <n v="49925.04"/>
    <n v="76612.139999999985"/>
    <n v="0.60545161509052114"/>
    <x v="1"/>
  </r>
  <r>
    <n v="1013"/>
    <d v="2023-02-25T00:00:00"/>
    <x v="0"/>
    <x v="3"/>
    <n v="4791.82"/>
    <n v="31"/>
    <x v="3"/>
    <n v="2757.06"/>
    <n v="3023.97"/>
    <x v="0"/>
    <n v="0.21"/>
    <s v="Cash"/>
    <x v="0"/>
    <s v="East-Eve"/>
    <n v="148546.41999999998"/>
    <n v="85468.86"/>
    <n v="63077.559999999983"/>
    <n v="0.42463197699412741"/>
    <x v="1"/>
  </r>
  <r>
    <n v="1086"/>
    <d v="2023-02-26T00:00:00"/>
    <x v="3"/>
    <x v="2"/>
    <n v="2559"/>
    <n v="5"/>
    <x v="2"/>
    <n v="4934.1000000000004"/>
    <n v="5191.0200000000004"/>
    <x v="1"/>
    <n v="0.3"/>
    <s v="Bank Transfer"/>
    <x v="0"/>
    <s v="West-Bob"/>
    <n v="12795"/>
    <n v="24670.5"/>
    <n v="-11875.5"/>
    <n v="-0.92813599062133645"/>
    <x v="1"/>
  </r>
  <r>
    <n v="1085"/>
    <d v="2023-02-27T00:00:00"/>
    <x v="0"/>
    <x v="2"/>
    <n v="5324.01"/>
    <n v="45"/>
    <x v="1"/>
    <n v="3325.96"/>
    <n v="3781.4"/>
    <x v="0"/>
    <n v="0.27"/>
    <s v="Credit Card"/>
    <x v="0"/>
    <s v="West-Eve"/>
    <n v="239580.45"/>
    <n v="149668.20000000001"/>
    <n v="89912.25"/>
    <n v="0.37529042958221337"/>
    <x v="1"/>
  </r>
  <r>
    <n v="1083"/>
    <d v="2023-02-27T00:00:00"/>
    <x v="4"/>
    <x v="2"/>
    <n v="1780.31"/>
    <n v="20"/>
    <x v="0"/>
    <n v="3617.59"/>
    <n v="4003.5"/>
    <x v="1"/>
    <n v="0.01"/>
    <s v="Credit Card"/>
    <x v="1"/>
    <s v="West-Alice"/>
    <n v="35606.199999999997"/>
    <n v="72351.8"/>
    <n v="-36745.600000000006"/>
    <n v="-1.0320000449359945"/>
    <x v="1"/>
  </r>
  <r>
    <n v="1087"/>
    <d v="2023-02-28T00:00:00"/>
    <x v="4"/>
    <x v="2"/>
    <n v="7534.3"/>
    <n v="15"/>
    <x v="1"/>
    <n v="4074.66"/>
    <n v="4261.1099999999997"/>
    <x v="0"/>
    <n v="0.05"/>
    <s v="Credit Card"/>
    <x v="1"/>
    <s v="West-Alice"/>
    <n v="113014.5"/>
    <n v="61119.899999999994"/>
    <n v="51894.600000000006"/>
    <n v="0.45918532577678089"/>
    <x v="1"/>
  </r>
  <r>
    <n v="1033"/>
    <d v="2023-02-28T00:00:00"/>
    <x v="2"/>
    <x v="2"/>
    <n v="4155.74"/>
    <n v="3"/>
    <x v="0"/>
    <n v="2958.75"/>
    <n v="3177.64"/>
    <x v="0"/>
    <n v="0.17"/>
    <s v="Cash"/>
    <x v="0"/>
    <s v="West-David"/>
    <n v="12467.22"/>
    <n v="8876.25"/>
    <n v="3590.9699999999993"/>
    <n v="0.28803293757549797"/>
    <x v="1"/>
  </r>
  <r>
    <n v="1012"/>
    <d v="2023-02-28T00:00:00"/>
    <x v="2"/>
    <x v="3"/>
    <n v="5650.72"/>
    <n v="33"/>
    <x v="3"/>
    <n v="3831.09"/>
    <n v="3908.37"/>
    <x v="1"/>
    <n v="0.28999999999999998"/>
    <s v="Cash"/>
    <x v="1"/>
    <s v="East-David"/>
    <n v="186473.76"/>
    <n v="126425.97"/>
    <n v="60047.790000000008"/>
    <n v="0.32201737123764762"/>
    <x v="1"/>
  </r>
  <r>
    <n v="1025"/>
    <d v="2023-02-28T00:00:00"/>
    <x v="3"/>
    <x v="3"/>
    <n v="8236.1299999999992"/>
    <n v="14"/>
    <x v="2"/>
    <n v="859.59"/>
    <n v="884.51"/>
    <x v="1"/>
    <n v="0.12"/>
    <s v="Bank Transfer"/>
    <x v="0"/>
    <s v="East-Bob"/>
    <n v="115305.81999999999"/>
    <n v="12034.26"/>
    <n v="103271.56"/>
    <n v="0.89563180765723716"/>
    <x v="1"/>
  </r>
  <r>
    <n v="1056"/>
    <d v="2023-02-28T00:00:00"/>
    <x v="0"/>
    <x v="0"/>
    <n v="6629.16"/>
    <n v="37"/>
    <x v="2"/>
    <n v="1555.41"/>
    <n v="1609.94"/>
    <x v="0"/>
    <n v="0.16"/>
    <s v="Credit Card"/>
    <x v="0"/>
    <s v="North-Eve"/>
    <n v="245278.91999999998"/>
    <n v="57550.170000000006"/>
    <n v="187728.74999999997"/>
    <n v="0.76536846297268424"/>
    <x v="1"/>
  </r>
  <r>
    <n v="1007"/>
    <d v="2023-02-28T00:00:00"/>
    <x v="1"/>
    <x v="3"/>
    <n v="1833.72"/>
    <n v="43"/>
    <x v="1"/>
    <n v="3967.25"/>
    <n v="4272.92"/>
    <x v="1"/>
    <n v="0.27"/>
    <s v="Credit Card"/>
    <x v="0"/>
    <s v="East-Charlie"/>
    <n v="78849.960000000006"/>
    <n v="170591.75"/>
    <n v="-91741.79"/>
    <n v="-1.1634982440067183"/>
    <x v="1"/>
  </r>
  <r>
    <n v="1029"/>
    <d v="2023-03-01T00:00:00"/>
    <x v="2"/>
    <x v="3"/>
    <n v="6773.89"/>
    <n v="28"/>
    <x v="0"/>
    <n v="2873.53"/>
    <n v="3108.3"/>
    <x v="1"/>
    <n v="0.15"/>
    <s v="Credit Card"/>
    <x v="1"/>
    <s v="East-David"/>
    <n v="189668.92"/>
    <n v="80458.840000000011"/>
    <n v="109210.08"/>
    <n v="0.5757932295918593"/>
    <x v="2"/>
  </r>
  <r>
    <n v="1041"/>
    <d v="2023-03-01T00:00:00"/>
    <x v="1"/>
    <x v="3"/>
    <n v="4170.8"/>
    <n v="44"/>
    <x v="2"/>
    <n v="3288.39"/>
    <n v="3391.46"/>
    <x v="1"/>
    <n v="0.05"/>
    <s v="Credit Card"/>
    <x v="1"/>
    <s v="East-Charlie"/>
    <n v="183515.2"/>
    <n v="144689.16"/>
    <n v="38826.040000000008"/>
    <n v="0.21156852402416806"/>
    <x v="2"/>
  </r>
  <r>
    <n v="1034"/>
    <d v="2023-03-01T00:00:00"/>
    <x v="1"/>
    <x v="2"/>
    <n v="2842.42"/>
    <n v="45"/>
    <x v="3"/>
    <n v="2013.12"/>
    <n v="2321.87"/>
    <x v="1"/>
    <n v="0.18"/>
    <s v="Bank Transfer"/>
    <x v="1"/>
    <s v="West-Charlie"/>
    <n v="127908.90000000001"/>
    <n v="90590.399999999994"/>
    <n v="37318.500000000015"/>
    <n v="0.29175843119595285"/>
    <x v="2"/>
  </r>
  <r>
    <n v="1058"/>
    <d v="2023-03-02T00:00:00"/>
    <x v="0"/>
    <x v="2"/>
    <n v="9333.83"/>
    <n v="39"/>
    <x v="3"/>
    <n v="3542.8"/>
    <n v="3603.02"/>
    <x v="0"/>
    <n v="0.26"/>
    <s v="Cash"/>
    <x v="0"/>
    <s v="West-Eve"/>
    <n v="364019.37"/>
    <n v="138169.20000000001"/>
    <n v="225850.16999999998"/>
    <n v="0.62043448402210022"/>
    <x v="2"/>
  </r>
  <r>
    <n v="1023"/>
    <d v="2023-03-02T00:00:00"/>
    <x v="2"/>
    <x v="2"/>
    <n v="1260.32"/>
    <n v="39"/>
    <x v="3"/>
    <n v="4450.6099999999997"/>
    <n v="4663.3399999999901"/>
    <x v="1"/>
    <n v="0.24"/>
    <s v="Cash"/>
    <x v="1"/>
    <s v="West-David"/>
    <n v="49152.479999999996"/>
    <n v="173573.78999999998"/>
    <n v="-124421.30999999998"/>
    <n v="-2.5313333121746857"/>
    <x v="2"/>
  </r>
  <r>
    <n v="1058"/>
    <d v="2023-03-02T00:00:00"/>
    <x v="0"/>
    <x v="3"/>
    <n v="5463.43"/>
    <n v="49"/>
    <x v="1"/>
    <n v="1307.22"/>
    <n v="1528.4"/>
    <x v="0"/>
    <n v="0.24"/>
    <s v="Cash"/>
    <x v="1"/>
    <s v="East-Eve"/>
    <n v="267708.07"/>
    <n v="64053.78"/>
    <n v="203654.29"/>
    <n v="0.76073272651063528"/>
    <x v="2"/>
  </r>
  <r>
    <n v="1007"/>
    <d v="2023-03-03T00:00:00"/>
    <x v="0"/>
    <x v="2"/>
    <n v="4694.54"/>
    <n v="1"/>
    <x v="3"/>
    <n v="2543.2600000000002"/>
    <n v="2637.91"/>
    <x v="0"/>
    <n v="0.2"/>
    <s v="Credit Card"/>
    <x v="0"/>
    <s v="West-Eve"/>
    <n v="4694.54"/>
    <n v="2543.2600000000002"/>
    <n v="2151.2799999999997"/>
    <n v="0.45825150067951276"/>
    <x v="2"/>
  </r>
  <r>
    <n v="1035"/>
    <d v="2023-03-03T00:00:00"/>
    <x v="3"/>
    <x v="2"/>
    <n v="2494.7399999999998"/>
    <n v="47"/>
    <x v="2"/>
    <n v="2936.48"/>
    <n v="3096.64"/>
    <x v="1"/>
    <n v="0.06"/>
    <s v="Bank Transfer"/>
    <x v="0"/>
    <s v="West-Bob"/>
    <n v="117252.77999999998"/>
    <n v="138014.56"/>
    <n v="-20761.780000000013"/>
    <n v="-0.17706855223390025"/>
    <x v="2"/>
  </r>
  <r>
    <n v="1089"/>
    <d v="2023-03-03T00:00:00"/>
    <x v="1"/>
    <x v="0"/>
    <n v="2122.73"/>
    <n v="4"/>
    <x v="1"/>
    <n v="4117.67"/>
    <n v="4280.0600000000004"/>
    <x v="0"/>
    <n v="0.18"/>
    <s v="Bank Transfer"/>
    <x v="0"/>
    <s v="North-Charlie"/>
    <n v="8490.92"/>
    <n v="16470.68"/>
    <n v="-7979.76"/>
    <n v="-0.93979922081470557"/>
    <x v="2"/>
  </r>
  <r>
    <n v="1095"/>
    <d v="2023-03-03T00:00:00"/>
    <x v="0"/>
    <x v="3"/>
    <n v="6518.35"/>
    <n v="16"/>
    <x v="2"/>
    <n v="3591.05"/>
    <n v="3625.35"/>
    <x v="0"/>
    <n v="0.05"/>
    <s v="Credit Card"/>
    <x v="1"/>
    <s v="East-Eve"/>
    <n v="104293.6"/>
    <n v="57456.800000000003"/>
    <n v="46836.800000000003"/>
    <n v="0.4490860417130102"/>
    <x v="2"/>
  </r>
  <r>
    <n v="1099"/>
    <d v="2023-03-04T00:00:00"/>
    <x v="2"/>
    <x v="3"/>
    <n v="7952.11"/>
    <n v="10"/>
    <x v="1"/>
    <n v="1531.2"/>
    <n v="1955.56"/>
    <x v="1"/>
    <n v="0"/>
    <s v="Credit Card"/>
    <x v="0"/>
    <s v="East-David"/>
    <n v="79521.099999999991"/>
    <n v="15312"/>
    <n v="64209.099999999991"/>
    <n v="0.80744733158872295"/>
    <x v="2"/>
  </r>
  <r>
    <n v="1070"/>
    <d v="2023-03-04T00:00:00"/>
    <x v="3"/>
    <x v="1"/>
    <n v="8771.24"/>
    <n v="15"/>
    <x v="2"/>
    <n v="3653.66"/>
    <n v="3896.19"/>
    <x v="1"/>
    <n v="0.03"/>
    <s v="Credit Card"/>
    <x v="1"/>
    <s v="South-Bob"/>
    <n v="131568.6"/>
    <n v="54804.899999999994"/>
    <n v="76763.700000000012"/>
    <n v="0.58345000250819734"/>
    <x v="2"/>
  </r>
  <r>
    <n v="1033"/>
    <d v="2023-03-04T00:00:00"/>
    <x v="3"/>
    <x v="2"/>
    <n v="8499.41"/>
    <n v="14"/>
    <x v="0"/>
    <n v="362.38"/>
    <n v="753.81"/>
    <x v="0"/>
    <n v="0.19"/>
    <s v="Cash"/>
    <x v="1"/>
    <s v="West-Bob"/>
    <n v="118991.73999999999"/>
    <n v="5073.32"/>
    <n v="113918.41999999998"/>
    <n v="0.95736409939042821"/>
    <x v="2"/>
  </r>
  <r>
    <n v="1094"/>
    <d v="2023-03-04T00:00:00"/>
    <x v="3"/>
    <x v="0"/>
    <n v="3992.63"/>
    <n v="49"/>
    <x v="3"/>
    <n v="615.47"/>
    <n v="715.84"/>
    <x v="0"/>
    <n v="0.21"/>
    <s v="Credit Card"/>
    <x v="1"/>
    <s v="North-Bob"/>
    <n v="195638.87"/>
    <n v="30158.030000000002"/>
    <n v="165480.84"/>
    <n v="0.8458484758166922"/>
    <x v="2"/>
  </r>
  <r>
    <n v="1009"/>
    <d v="2023-03-04T00:00:00"/>
    <x v="2"/>
    <x v="3"/>
    <n v="198.79"/>
    <n v="1"/>
    <x v="0"/>
    <n v="3223.07"/>
    <n v="3590.83"/>
    <x v="1"/>
    <n v="0.19"/>
    <s v="Bank Transfer"/>
    <x v="1"/>
    <s v="East-David"/>
    <n v="198.79"/>
    <n v="3223.07"/>
    <n v="-3024.28"/>
    <n v="-15.213441319985916"/>
    <x v="2"/>
  </r>
  <r>
    <n v="1058"/>
    <d v="2023-03-05T00:00:00"/>
    <x v="0"/>
    <x v="0"/>
    <n v="252.41"/>
    <n v="48"/>
    <x v="1"/>
    <n v="2596.7199999999998"/>
    <n v="2715.0499999999902"/>
    <x v="0"/>
    <n v="0.04"/>
    <s v="Cash"/>
    <x v="0"/>
    <s v="North-Eve"/>
    <n v="12115.68"/>
    <n v="124642.56"/>
    <n v="-112526.88"/>
    <n v="-9.2877065092508229"/>
    <x v="2"/>
  </r>
  <r>
    <n v="1050"/>
    <d v="2023-03-05T00:00:00"/>
    <x v="3"/>
    <x v="0"/>
    <n v="9755.9"/>
    <n v="20"/>
    <x v="2"/>
    <n v="3318.92"/>
    <n v="3785.91"/>
    <x v="1"/>
    <n v="0.24"/>
    <s v="Bank Transfer"/>
    <x v="0"/>
    <s v="North-Bob"/>
    <n v="195118"/>
    <n v="66378.399999999994"/>
    <n v="128739.6"/>
    <n v="0.65980381102717334"/>
    <x v="2"/>
  </r>
  <r>
    <n v="1024"/>
    <d v="2023-03-06T00:00:00"/>
    <x v="4"/>
    <x v="1"/>
    <n v="9602.64"/>
    <n v="35"/>
    <x v="2"/>
    <n v="1258.53"/>
    <n v="1624.8899999999901"/>
    <x v="1"/>
    <n v="0.08"/>
    <s v="Credit Card"/>
    <x v="0"/>
    <s v="South-Alice"/>
    <n v="336092.39999999997"/>
    <n v="44048.549999999996"/>
    <n v="292043.84999999998"/>
    <n v="0.8689391667291495"/>
    <x v="2"/>
  </r>
  <r>
    <n v="1005"/>
    <d v="2023-03-08T00:00:00"/>
    <x v="4"/>
    <x v="0"/>
    <n v="4426.26"/>
    <n v="12"/>
    <x v="0"/>
    <n v="253.29"/>
    <n v="683.78"/>
    <x v="1"/>
    <n v="0.25"/>
    <s v="Credit Card"/>
    <x v="0"/>
    <s v="North-Alice"/>
    <n v="53115.12"/>
    <n v="3039.48"/>
    <n v="50075.64"/>
    <n v="0.94277561643464225"/>
    <x v="2"/>
  </r>
  <r>
    <n v="1067"/>
    <d v="2023-03-08T00:00:00"/>
    <x v="3"/>
    <x v="3"/>
    <n v="7078.22"/>
    <n v="28"/>
    <x v="2"/>
    <n v="3489.85"/>
    <n v="3842.5499999999902"/>
    <x v="1"/>
    <n v="0.03"/>
    <s v="Bank Transfer"/>
    <x v="0"/>
    <s v="East-Bob"/>
    <n v="198190.16"/>
    <n v="97715.8"/>
    <n v="100474.36"/>
    <n v="0.50695937679247038"/>
    <x v="2"/>
  </r>
  <r>
    <n v="1058"/>
    <d v="2023-03-09T00:00:00"/>
    <x v="0"/>
    <x v="1"/>
    <n v="3788.08"/>
    <n v="40"/>
    <x v="1"/>
    <n v="2249.7600000000002"/>
    <n v="2598.4"/>
    <x v="0"/>
    <n v="0.18"/>
    <s v="Credit Card"/>
    <x v="1"/>
    <s v="South-Eve"/>
    <n v="151523.20000000001"/>
    <n v="89990.400000000009"/>
    <n v="61532.800000000003"/>
    <n v="0.40609490823847438"/>
    <x v="2"/>
  </r>
  <r>
    <n v="1040"/>
    <d v="2023-03-10T00:00:00"/>
    <x v="1"/>
    <x v="3"/>
    <n v="2331.27"/>
    <n v="13"/>
    <x v="0"/>
    <n v="2750.18"/>
    <n v="2882.85"/>
    <x v="0"/>
    <n v="0.24"/>
    <s v="Credit Card"/>
    <x v="0"/>
    <s v="East-Charlie"/>
    <n v="30306.51"/>
    <n v="35752.339999999997"/>
    <n v="-5445.8299999999981"/>
    <n v="-0.17969175599565895"/>
    <x v="2"/>
  </r>
  <r>
    <n v="1027"/>
    <d v="2023-03-10T00:00:00"/>
    <x v="0"/>
    <x v="1"/>
    <n v="3985.34"/>
    <n v="21"/>
    <x v="3"/>
    <n v="2511.41"/>
    <n v="2848.3999999999901"/>
    <x v="0"/>
    <n v="0.06"/>
    <s v="Bank Transfer"/>
    <x v="0"/>
    <s v="South-Eve"/>
    <n v="83692.14"/>
    <n v="52739.61"/>
    <n v="30952.53"/>
    <n v="0.36983795610914"/>
    <x v="2"/>
  </r>
  <r>
    <n v="1040"/>
    <d v="2023-03-10T00:00:00"/>
    <x v="4"/>
    <x v="3"/>
    <n v="1004.78"/>
    <n v="42"/>
    <x v="2"/>
    <n v="4205.29"/>
    <n v="4382.3500000000004"/>
    <x v="1"/>
    <n v="0.25"/>
    <s v="Cash"/>
    <x v="1"/>
    <s v="East-Alice"/>
    <n v="42200.76"/>
    <n v="176622.18"/>
    <n v="-134421.41999999998"/>
    <n v="-3.1852843408507328"/>
    <x v="2"/>
  </r>
  <r>
    <n v="1038"/>
    <d v="2023-03-11T00:00:00"/>
    <x v="3"/>
    <x v="1"/>
    <n v="1452.35"/>
    <n v="15"/>
    <x v="0"/>
    <n v="2543.36"/>
    <n v="2790.1"/>
    <x v="0"/>
    <n v="7.0000000000000007E-2"/>
    <s v="Cash"/>
    <x v="0"/>
    <s v="South-Bob"/>
    <n v="21785.25"/>
    <n v="38150.400000000001"/>
    <n v="-16365.150000000001"/>
    <n v="-0.75120322236375536"/>
    <x v="2"/>
  </r>
  <r>
    <n v="1061"/>
    <d v="2023-03-13T00:00:00"/>
    <x v="3"/>
    <x v="1"/>
    <n v="6321.42"/>
    <n v="11"/>
    <x v="0"/>
    <n v="2594.71"/>
    <n v="2769.52"/>
    <x v="0"/>
    <n v="0.01"/>
    <s v="Bank Transfer"/>
    <x v="1"/>
    <s v="South-Bob"/>
    <n v="69535.62"/>
    <n v="28541.81"/>
    <n v="40993.81"/>
    <n v="0.58953684456973277"/>
    <x v="2"/>
  </r>
  <r>
    <n v="1032"/>
    <d v="2023-03-13T00:00:00"/>
    <x v="4"/>
    <x v="0"/>
    <n v="5768.81"/>
    <n v="20"/>
    <x v="2"/>
    <n v="4741.59"/>
    <n v="4975.2299999999996"/>
    <x v="1"/>
    <n v="0.09"/>
    <s v="Credit Card"/>
    <x v="0"/>
    <s v="North-Alice"/>
    <n v="115376.20000000001"/>
    <n v="94831.8"/>
    <n v="20544.400000000009"/>
    <n v="0.17806445350080871"/>
    <x v="2"/>
  </r>
  <r>
    <n v="1038"/>
    <d v="2023-03-13T00:00:00"/>
    <x v="2"/>
    <x v="0"/>
    <n v="763.46"/>
    <n v="9"/>
    <x v="0"/>
    <n v="400.42"/>
    <n v="446.11"/>
    <x v="1"/>
    <n v="0.01"/>
    <s v="Bank Transfer"/>
    <x v="1"/>
    <s v="North-David"/>
    <n v="6871.14"/>
    <n v="3603.78"/>
    <n v="3267.36"/>
    <n v="0.47551934613470254"/>
    <x v="2"/>
  </r>
  <r>
    <n v="1030"/>
    <d v="2023-03-13T00:00:00"/>
    <x v="4"/>
    <x v="0"/>
    <n v="9385.86"/>
    <n v="39"/>
    <x v="3"/>
    <n v="2511.2800000000002"/>
    <n v="2658.06"/>
    <x v="1"/>
    <n v="0.19"/>
    <s v="Credit Card"/>
    <x v="1"/>
    <s v="North-Alice"/>
    <n v="366048.54000000004"/>
    <n v="97939.920000000013"/>
    <n v="268108.62"/>
    <n v="0.73244007475074202"/>
    <x v="2"/>
  </r>
  <r>
    <n v="1090"/>
    <d v="2023-03-14T00:00:00"/>
    <x v="2"/>
    <x v="3"/>
    <n v="6761.43"/>
    <n v="47"/>
    <x v="1"/>
    <n v="2310.8200000000002"/>
    <n v="2714.71"/>
    <x v="1"/>
    <n v="0.19"/>
    <s v="Cash"/>
    <x v="1"/>
    <s v="East-David"/>
    <n v="317787.21000000002"/>
    <n v="108608.54000000001"/>
    <n v="209178.67"/>
    <n v="0.65823501833192088"/>
    <x v="2"/>
  </r>
  <r>
    <n v="1062"/>
    <d v="2023-03-14T00:00:00"/>
    <x v="4"/>
    <x v="3"/>
    <n v="4178.3900000000003"/>
    <n v="24"/>
    <x v="3"/>
    <n v="3018.01"/>
    <n v="3418.19"/>
    <x v="0"/>
    <n v="0.23"/>
    <s v="Bank Transfer"/>
    <x v="1"/>
    <s v="East-Alice"/>
    <n v="100281.36000000002"/>
    <n v="72432.240000000005"/>
    <n v="27849.12000000001"/>
    <n v="0.2777098356065375"/>
    <x v="2"/>
  </r>
  <r>
    <n v="1021"/>
    <d v="2023-03-14T00:00:00"/>
    <x v="2"/>
    <x v="1"/>
    <n v="7792.79"/>
    <n v="23"/>
    <x v="3"/>
    <n v="580.75"/>
    <n v="956.16"/>
    <x v="0"/>
    <n v="7.0000000000000007E-2"/>
    <s v="Cash"/>
    <x v="1"/>
    <s v="South-David"/>
    <n v="179234.17"/>
    <n v="13357.25"/>
    <n v="165876.92000000001"/>
    <n v="0.92547598485266513"/>
    <x v="2"/>
  </r>
  <r>
    <n v="1060"/>
    <d v="2023-03-15T00:00:00"/>
    <x v="2"/>
    <x v="1"/>
    <n v="8594.43"/>
    <n v="44"/>
    <x v="0"/>
    <n v="2211.9499999999998"/>
    <n v="2512.8399999999901"/>
    <x v="0"/>
    <n v="0.04"/>
    <s v="Cash"/>
    <x v="0"/>
    <s v="South-David"/>
    <n v="378154.92000000004"/>
    <n v="97325.799999999988"/>
    <n v="280829.12000000005"/>
    <n v="0.74262981954591523"/>
    <x v="2"/>
  </r>
  <r>
    <n v="1062"/>
    <d v="2023-03-16T00:00:00"/>
    <x v="2"/>
    <x v="2"/>
    <n v="4195.0600000000004"/>
    <n v="45"/>
    <x v="1"/>
    <n v="4849.6000000000004"/>
    <n v="5166.72"/>
    <x v="0"/>
    <n v="0.25"/>
    <s v="Credit Card"/>
    <x v="0"/>
    <s v="West-David"/>
    <n v="188777.7"/>
    <n v="218232.00000000003"/>
    <n v="-29454.300000000017"/>
    <n v="-0.15602637387784687"/>
    <x v="2"/>
  </r>
  <r>
    <n v="1097"/>
    <d v="2023-03-16T00:00:00"/>
    <x v="2"/>
    <x v="1"/>
    <n v="471.95"/>
    <n v="35"/>
    <x v="3"/>
    <n v="1958.49"/>
    <n v="2254.84"/>
    <x v="1"/>
    <n v="0.16"/>
    <s v="Credit Card"/>
    <x v="0"/>
    <s v="South-David"/>
    <n v="16518.25"/>
    <n v="68547.149999999994"/>
    <n v="-52028.899999999994"/>
    <n v="-3.1497828159762684"/>
    <x v="2"/>
  </r>
  <r>
    <n v="1039"/>
    <d v="2023-03-16T00:00:00"/>
    <x v="0"/>
    <x v="0"/>
    <n v="6076.01"/>
    <n v="35"/>
    <x v="1"/>
    <n v="2735.74"/>
    <n v="3181.22999999999"/>
    <x v="1"/>
    <n v="0.1"/>
    <s v="Credit Card"/>
    <x v="1"/>
    <s v="North-Eve"/>
    <n v="212660.35"/>
    <n v="95750.9"/>
    <n v="116909.45000000001"/>
    <n v="0.54974728481355362"/>
    <x v="2"/>
  </r>
  <r>
    <n v="1098"/>
    <d v="2023-03-16T00:00:00"/>
    <x v="2"/>
    <x v="1"/>
    <n v="6780.38"/>
    <n v="11"/>
    <x v="1"/>
    <n v="741.48"/>
    <n v="878.09"/>
    <x v="1"/>
    <n v="0.28999999999999998"/>
    <s v="Cash"/>
    <x v="1"/>
    <s v="South-David"/>
    <n v="74584.180000000008"/>
    <n v="8156.2800000000007"/>
    <n v="66427.900000000009"/>
    <n v="0.8906432972783237"/>
    <x v="2"/>
  </r>
  <r>
    <n v="1024"/>
    <d v="2023-03-17T00:00:00"/>
    <x v="0"/>
    <x v="1"/>
    <n v="5825.15"/>
    <n v="46"/>
    <x v="2"/>
    <n v="2016.49"/>
    <n v="2338.66"/>
    <x v="0"/>
    <n v="0.19"/>
    <s v="Bank Transfer"/>
    <x v="1"/>
    <s v="South-Eve"/>
    <n v="267956.89999999997"/>
    <n v="92758.54"/>
    <n v="175198.36"/>
    <n v="0.65383037346677775"/>
    <x v="2"/>
  </r>
  <r>
    <n v="1036"/>
    <d v="2023-03-17T00:00:00"/>
    <x v="4"/>
    <x v="3"/>
    <n v="2583.84"/>
    <n v="23"/>
    <x v="3"/>
    <n v="3335.53"/>
    <n v="3742.12"/>
    <x v="1"/>
    <n v="0.03"/>
    <s v="Bank Transfer"/>
    <x v="1"/>
    <s v="East-Alice"/>
    <n v="59428.320000000007"/>
    <n v="76717.19"/>
    <n v="-17288.869999999995"/>
    <n v="-0.2909197163911077"/>
    <x v="2"/>
  </r>
  <r>
    <n v="1017"/>
    <d v="2023-03-17T00:00:00"/>
    <x v="3"/>
    <x v="0"/>
    <n v="2401.81"/>
    <n v="28"/>
    <x v="0"/>
    <n v="3780.91"/>
    <n v="3892.73"/>
    <x v="0"/>
    <n v="0.1"/>
    <s v="Cash"/>
    <x v="1"/>
    <s v="North-Bob"/>
    <n v="67250.679999999993"/>
    <n v="105865.48"/>
    <n v="-38614.800000000003"/>
    <n v="-0.5741919635608147"/>
    <x v="2"/>
  </r>
  <r>
    <n v="1016"/>
    <d v="2023-03-18T00:00:00"/>
    <x v="2"/>
    <x v="1"/>
    <n v="485.9"/>
    <n v="4"/>
    <x v="3"/>
    <n v="688.98"/>
    <n v="863.81"/>
    <x v="1"/>
    <n v="0.27"/>
    <s v="Credit Card"/>
    <x v="1"/>
    <s v="South-David"/>
    <n v="1943.6"/>
    <n v="2755.92"/>
    <n v="-812.32000000000016"/>
    <n v="-0.41794607944021411"/>
    <x v="2"/>
  </r>
  <r>
    <n v="1095"/>
    <d v="2023-03-18T00:00:00"/>
    <x v="0"/>
    <x v="1"/>
    <n v="8057.67"/>
    <n v="43"/>
    <x v="1"/>
    <n v="1331.86"/>
    <n v="1758.98"/>
    <x v="0"/>
    <n v="0.23"/>
    <s v="Bank Transfer"/>
    <x v="1"/>
    <s v="South-Eve"/>
    <n v="346479.81"/>
    <n v="57269.979999999996"/>
    <n v="289209.83"/>
    <n v="0.83470904119925493"/>
    <x v="2"/>
  </r>
  <r>
    <n v="1035"/>
    <d v="2023-03-19T00:00:00"/>
    <x v="3"/>
    <x v="1"/>
    <n v="5343.63"/>
    <n v="9"/>
    <x v="0"/>
    <n v="2534.94"/>
    <n v="2755.56"/>
    <x v="0"/>
    <n v="0.13"/>
    <s v="Credit Card"/>
    <x v="1"/>
    <s v="South-Bob"/>
    <n v="48092.67"/>
    <n v="22814.46"/>
    <n v="25278.21"/>
    <n v="0.52561461029300305"/>
    <x v="2"/>
  </r>
  <r>
    <n v="1020"/>
    <d v="2023-03-19T00:00:00"/>
    <x v="0"/>
    <x v="2"/>
    <n v="9335.9599999999991"/>
    <n v="19"/>
    <x v="3"/>
    <n v="1783.48"/>
    <n v="1931.56"/>
    <x v="0"/>
    <n v="0.27"/>
    <s v="Bank Transfer"/>
    <x v="1"/>
    <s v="West-Eve"/>
    <n v="177383.24"/>
    <n v="33886.120000000003"/>
    <n v="143497.12"/>
    <n v="0.80896661939425618"/>
    <x v="2"/>
  </r>
  <r>
    <n v="1030"/>
    <d v="2023-03-19T00:00:00"/>
    <x v="2"/>
    <x v="3"/>
    <n v="1874.63"/>
    <n v="2"/>
    <x v="0"/>
    <n v="844.94"/>
    <n v="1225.6400000000001"/>
    <x v="0"/>
    <n v="0.23"/>
    <s v="Credit Card"/>
    <x v="0"/>
    <s v="East-David"/>
    <n v="3749.26"/>
    <n v="1689.88"/>
    <n v="2059.38"/>
    <n v="0.54927639054106681"/>
    <x v="2"/>
  </r>
  <r>
    <n v="1011"/>
    <d v="2023-03-20T00:00:00"/>
    <x v="3"/>
    <x v="3"/>
    <n v="3484.86"/>
    <n v="2"/>
    <x v="1"/>
    <n v="4906.17"/>
    <n v="5107.43"/>
    <x v="0"/>
    <n v="0.1"/>
    <s v="Cash"/>
    <x v="0"/>
    <s v="East-Bob"/>
    <n v="6969.72"/>
    <n v="9812.34"/>
    <n v="-2842.62"/>
    <n v="-0.40785282622544372"/>
    <x v="2"/>
  </r>
  <r>
    <n v="1026"/>
    <d v="2023-03-20T00:00:00"/>
    <x v="3"/>
    <x v="3"/>
    <n v="614.69000000000005"/>
    <n v="19"/>
    <x v="2"/>
    <n v="4991.68"/>
    <n v="5296.65"/>
    <x v="1"/>
    <n v="0.12"/>
    <s v="Bank Transfer"/>
    <x v="0"/>
    <s v="East-Bob"/>
    <n v="11679.11"/>
    <n v="94841.920000000013"/>
    <n v="-83162.810000000012"/>
    <n v="-7.1206461793749698"/>
    <x v="2"/>
  </r>
  <r>
    <n v="1069"/>
    <d v="2023-03-21T00:00:00"/>
    <x v="3"/>
    <x v="3"/>
    <n v="9369.18"/>
    <n v="29"/>
    <x v="1"/>
    <n v="2462.66"/>
    <n v="2908.0899999999901"/>
    <x v="1"/>
    <n v="0.12"/>
    <s v="Credit Card"/>
    <x v="0"/>
    <s v="East-Bob"/>
    <n v="271706.22000000003"/>
    <n v="71417.14"/>
    <n v="200289.08000000002"/>
    <n v="0.73715309130574924"/>
    <x v="2"/>
  </r>
  <r>
    <n v="1084"/>
    <d v="2023-03-21T00:00:00"/>
    <x v="0"/>
    <x v="1"/>
    <n v="3617.67"/>
    <n v="40"/>
    <x v="3"/>
    <n v="2890.95"/>
    <n v="3104.43"/>
    <x v="1"/>
    <n v="0.21"/>
    <s v="Bank Transfer"/>
    <x v="0"/>
    <s v="South-Eve"/>
    <n v="144706.79999999999"/>
    <n v="115638"/>
    <n v="29068.799999999988"/>
    <n v="0.20088067734204607"/>
    <x v="2"/>
  </r>
  <r>
    <n v="1097"/>
    <d v="2023-03-22T00:00:00"/>
    <x v="0"/>
    <x v="0"/>
    <n v="6747.64"/>
    <n v="6"/>
    <x v="2"/>
    <n v="4885.9799999999996"/>
    <n v="4949.95"/>
    <x v="0"/>
    <n v="0.17"/>
    <s v="Bank Transfer"/>
    <x v="0"/>
    <s v="North-Eve"/>
    <n v="40485.840000000004"/>
    <n v="29315.879999999997"/>
    <n v="11169.960000000006"/>
    <n v="0.27589794357731012"/>
    <x v="2"/>
  </r>
  <r>
    <n v="1076"/>
    <d v="2023-03-22T00:00:00"/>
    <x v="1"/>
    <x v="1"/>
    <n v="316.94"/>
    <n v="23"/>
    <x v="3"/>
    <n v="2759.16"/>
    <n v="2864.45"/>
    <x v="0"/>
    <n v="0.18"/>
    <s v="Credit Card"/>
    <x v="1"/>
    <s v="South-Charlie"/>
    <n v="7289.62"/>
    <n v="63460.679999999993"/>
    <n v="-56171.05999999999"/>
    <n v="-7.7056225153025801"/>
    <x v="2"/>
  </r>
  <r>
    <n v="1061"/>
    <d v="2023-03-22T00:00:00"/>
    <x v="4"/>
    <x v="3"/>
    <n v="8915.0499999999993"/>
    <n v="34"/>
    <x v="0"/>
    <n v="2680.82"/>
    <n v="2771.02"/>
    <x v="1"/>
    <n v="0.2"/>
    <s v="Bank Transfer"/>
    <x v="0"/>
    <s v="East-Alice"/>
    <n v="303111.69999999995"/>
    <n v="91147.88"/>
    <n v="211963.81999999995"/>
    <n v="0.69929276896932713"/>
    <x v="2"/>
  </r>
  <r>
    <n v="1035"/>
    <d v="2023-03-23T00:00:00"/>
    <x v="2"/>
    <x v="3"/>
    <n v="613.16999999999996"/>
    <n v="30"/>
    <x v="0"/>
    <n v="1300.03"/>
    <n v="1745.52"/>
    <x v="1"/>
    <n v="0.09"/>
    <s v="Cash"/>
    <x v="1"/>
    <s v="East-David"/>
    <n v="18395.099999999999"/>
    <n v="39000.9"/>
    <n v="-20605.800000000003"/>
    <n v="-1.1201787432522794"/>
    <x v="2"/>
  </r>
  <r>
    <n v="1092"/>
    <d v="2023-03-23T00:00:00"/>
    <x v="3"/>
    <x v="1"/>
    <n v="7914"/>
    <n v="18"/>
    <x v="3"/>
    <n v="3070.47"/>
    <n v="3475.29"/>
    <x v="0"/>
    <n v="0.2"/>
    <s v="Bank Transfer"/>
    <x v="0"/>
    <s v="South-Bob"/>
    <n v="142452"/>
    <n v="55268.46"/>
    <n v="87183.540000000008"/>
    <n v="0.61202047005307059"/>
    <x v="2"/>
  </r>
  <r>
    <n v="1031"/>
    <d v="2023-03-23T00:00:00"/>
    <x v="0"/>
    <x v="3"/>
    <n v="433.4"/>
    <n v="32"/>
    <x v="0"/>
    <n v="3351.33"/>
    <n v="3711.47"/>
    <x v="1"/>
    <n v="0.16"/>
    <s v="Cash"/>
    <x v="1"/>
    <s v="East-Eve"/>
    <n v="13868.8"/>
    <n v="107242.56"/>
    <n v="-93373.759999999995"/>
    <n v="-6.7326488232579607"/>
    <x v="2"/>
  </r>
  <r>
    <n v="1078"/>
    <d v="2023-03-23T00:00:00"/>
    <x v="0"/>
    <x v="2"/>
    <n v="3808.03"/>
    <n v="33"/>
    <x v="0"/>
    <n v="2396.6799999999998"/>
    <n v="2661.54"/>
    <x v="1"/>
    <n v="0.18"/>
    <s v="Bank Transfer"/>
    <x v="0"/>
    <s v="West-Eve"/>
    <n v="125664.99"/>
    <n v="79090.439999999988"/>
    <n v="46574.550000000017"/>
    <n v="0.37062470621292387"/>
    <x v="2"/>
  </r>
  <r>
    <n v="1061"/>
    <d v="2023-03-24T00:00:00"/>
    <x v="1"/>
    <x v="3"/>
    <n v="3750.2"/>
    <n v="13"/>
    <x v="2"/>
    <n v="637.37"/>
    <n v="692.71"/>
    <x v="1"/>
    <n v="0.08"/>
    <s v="Credit Card"/>
    <x v="0"/>
    <s v="East-Charlie"/>
    <n v="48752.6"/>
    <n v="8285.81"/>
    <n v="40466.79"/>
    <n v="0.83004373100101336"/>
    <x v="2"/>
  </r>
  <r>
    <n v="1074"/>
    <d v="2023-03-25T00:00:00"/>
    <x v="0"/>
    <x v="2"/>
    <n v="7499.7"/>
    <n v="38"/>
    <x v="3"/>
    <n v="2610.6"/>
    <n v="2836.94"/>
    <x v="0"/>
    <n v="0.19"/>
    <s v="Credit Card"/>
    <x v="0"/>
    <s v="West-Eve"/>
    <n v="284988.59999999998"/>
    <n v="99202.8"/>
    <n v="185785.8"/>
    <n v="0.65190607624304975"/>
    <x v="2"/>
  </r>
  <r>
    <n v="1092"/>
    <d v="2023-03-25T00:00:00"/>
    <x v="4"/>
    <x v="2"/>
    <n v="1897.98"/>
    <n v="49"/>
    <x v="1"/>
    <n v="2315"/>
    <n v="2467.2800000000002"/>
    <x v="1"/>
    <n v="0.15"/>
    <s v="Bank Transfer"/>
    <x v="1"/>
    <s v="West-Alice"/>
    <n v="93001.02"/>
    <n v="113435"/>
    <n v="-20433.979999999996"/>
    <n v="-0.21971780524557682"/>
    <x v="2"/>
  </r>
  <r>
    <n v="1055"/>
    <d v="2023-03-25T00:00:00"/>
    <x v="2"/>
    <x v="3"/>
    <n v="1756.83"/>
    <n v="11"/>
    <x v="2"/>
    <n v="2495.1999999999998"/>
    <n v="2600.9299999999998"/>
    <x v="1"/>
    <n v="0.21"/>
    <s v="Bank Transfer"/>
    <x v="1"/>
    <s v="East-David"/>
    <n v="19325.129999999997"/>
    <n v="27447.199999999997"/>
    <n v="-8122.07"/>
    <n v="-0.42028540040869067"/>
    <x v="2"/>
  </r>
  <r>
    <n v="1053"/>
    <d v="2023-03-25T00:00:00"/>
    <x v="3"/>
    <x v="3"/>
    <n v="7080.88"/>
    <n v="1"/>
    <x v="0"/>
    <n v="1702.82"/>
    <n v="1862.61"/>
    <x v="0"/>
    <n v="0.24"/>
    <s v="Cash"/>
    <x v="1"/>
    <s v="East-Bob"/>
    <n v="7080.88"/>
    <n v="1702.82"/>
    <n v="5378.06"/>
    <n v="0.7595185909096045"/>
    <x v="2"/>
  </r>
  <r>
    <n v="1005"/>
    <d v="2023-03-25T00:00:00"/>
    <x v="3"/>
    <x v="2"/>
    <n v="7442.25"/>
    <n v="14"/>
    <x v="0"/>
    <n v="1861.2"/>
    <n v="2075.35"/>
    <x v="0"/>
    <n v="0.1"/>
    <s v="Credit Card"/>
    <x v="1"/>
    <s v="West-Bob"/>
    <n v="104191.5"/>
    <n v="26056.799999999999"/>
    <n v="78134.7"/>
    <n v="0.7499143404212435"/>
    <x v="2"/>
  </r>
  <r>
    <n v="1049"/>
    <d v="2023-03-25T00:00:00"/>
    <x v="0"/>
    <x v="3"/>
    <n v="8611.9699999999993"/>
    <n v="17"/>
    <x v="2"/>
    <n v="558.70000000000005"/>
    <n v="1004.08"/>
    <x v="0"/>
    <n v="0.03"/>
    <s v="Credit Card"/>
    <x v="0"/>
    <s v="East-Eve"/>
    <n v="146403.49"/>
    <n v="9497.9000000000015"/>
    <n v="136905.59"/>
    <n v="0.93512518041748871"/>
    <x v="2"/>
  </r>
  <r>
    <n v="1097"/>
    <d v="2023-03-26T00:00:00"/>
    <x v="2"/>
    <x v="3"/>
    <n v="6286.25"/>
    <n v="7"/>
    <x v="0"/>
    <n v="1896.35"/>
    <n v="2394.1999999999998"/>
    <x v="1"/>
    <n v="0.22"/>
    <s v="Bank Transfer"/>
    <x v="0"/>
    <s v="East-David"/>
    <n v="44003.75"/>
    <n v="13274.449999999999"/>
    <n v="30729.300000000003"/>
    <n v="0.69833366474448211"/>
    <x v="2"/>
  </r>
  <r>
    <n v="1096"/>
    <d v="2023-03-27T00:00:00"/>
    <x v="4"/>
    <x v="0"/>
    <n v="4821.3100000000004"/>
    <n v="48"/>
    <x v="0"/>
    <n v="2449.21"/>
    <n v="2714.12"/>
    <x v="1"/>
    <n v="0.01"/>
    <s v="Credit Card"/>
    <x v="0"/>
    <s v="North-Alice"/>
    <n v="231422.88"/>
    <n v="117562.08"/>
    <n v="113860.8"/>
    <n v="0.49200321074562725"/>
    <x v="2"/>
  </r>
  <r>
    <n v="1010"/>
    <d v="2023-03-27T00:00:00"/>
    <x v="0"/>
    <x v="1"/>
    <n v="8159.84"/>
    <n v="37"/>
    <x v="0"/>
    <n v="4354.92"/>
    <n v="4495.88"/>
    <x v="0"/>
    <n v="0.01"/>
    <s v="Bank Transfer"/>
    <x v="0"/>
    <s v="South-Eve"/>
    <n v="301914.08"/>
    <n v="161132.04"/>
    <n v="140782.04"/>
    <n v="0.46629835879134884"/>
    <x v="2"/>
  </r>
  <r>
    <n v="1069"/>
    <d v="2023-03-27T00:00:00"/>
    <x v="2"/>
    <x v="3"/>
    <n v="719.39"/>
    <n v="47"/>
    <x v="2"/>
    <n v="4171.83"/>
    <n v="4320.93"/>
    <x v="1"/>
    <n v="7.0000000000000007E-2"/>
    <s v="Cash"/>
    <x v="0"/>
    <s v="East-David"/>
    <n v="33811.33"/>
    <n v="196076.01"/>
    <n v="-162264.68"/>
    <n v="-4.7991214779187921"/>
    <x v="2"/>
  </r>
  <r>
    <n v="1066"/>
    <d v="2023-03-28T00:00:00"/>
    <x v="1"/>
    <x v="0"/>
    <n v="7297.86"/>
    <n v="7"/>
    <x v="0"/>
    <n v="523.41999999999996"/>
    <n v="632.43999999999903"/>
    <x v="1"/>
    <n v="0.2"/>
    <s v="Bank Transfer"/>
    <x v="0"/>
    <s v="North-Charlie"/>
    <n v="51085.02"/>
    <n v="3663.9399999999996"/>
    <n v="47421.079999999994"/>
    <n v="0.92827760466766962"/>
    <x v="2"/>
  </r>
  <r>
    <n v="1045"/>
    <d v="2023-03-28T00:00:00"/>
    <x v="0"/>
    <x v="2"/>
    <n v="6792.66"/>
    <n v="14"/>
    <x v="0"/>
    <n v="635.28"/>
    <n v="831.13"/>
    <x v="0"/>
    <n v="0.17"/>
    <s v="Bank Transfer"/>
    <x v="1"/>
    <s v="West-Eve"/>
    <n v="95097.239999999991"/>
    <n v="8893.92"/>
    <n v="86203.319999999992"/>
    <n v="0.90647551916333224"/>
    <x v="2"/>
  </r>
  <r>
    <n v="1063"/>
    <d v="2023-03-28T00:00:00"/>
    <x v="1"/>
    <x v="1"/>
    <n v="4947.28"/>
    <n v="42"/>
    <x v="3"/>
    <n v="1170.07"/>
    <n v="1669.94999999999"/>
    <x v="0"/>
    <n v="0.12"/>
    <s v="Bank Transfer"/>
    <x v="1"/>
    <s v="South-Charlie"/>
    <n v="207785.75999999998"/>
    <n v="49142.939999999995"/>
    <n v="158642.81999999998"/>
    <n v="0.76349226241490276"/>
    <x v="2"/>
  </r>
  <r>
    <n v="1022"/>
    <d v="2023-03-29T00:00:00"/>
    <x v="3"/>
    <x v="2"/>
    <n v="8640.14"/>
    <n v="45"/>
    <x v="1"/>
    <n v="4020.09"/>
    <n v="4087.91"/>
    <x v="0"/>
    <n v="0.06"/>
    <s v="Bank Transfer"/>
    <x v="0"/>
    <s v="West-Bob"/>
    <n v="388806.3"/>
    <n v="180904.05000000002"/>
    <n v="207902.24999999997"/>
    <n v="0.53471934482543104"/>
    <x v="2"/>
  </r>
  <r>
    <n v="1010"/>
    <d v="2023-03-29T00:00:00"/>
    <x v="4"/>
    <x v="1"/>
    <n v="3329.91"/>
    <n v="49"/>
    <x v="3"/>
    <n v="1150.3"/>
    <n v="1306.02"/>
    <x v="1"/>
    <n v="0.06"/>
    <s v="Credit Card"/>
    <x v="1"/>
    <s v="South-Alice"/>
    <n v="163165.59"/>
    <n v="56364.7"/>
    <n v="106800.89"/>
    <n v="0.65455522821938128"/>
    <x v="2"/>
  </r>
  <r>
    <n v="1005"/>
    <d v="2023-03-30T00:00:00"/>
    <x v="4"/>
    <x v="3"/>
    <n v="6828.24"/>
    <n v="12"/>
    <x v="2"/>
    <n v="319.83"/>
    <n v="802.43"/>
    <x v="1"/>
    <n v="0.04"/>
    <s v="Credit Card"/>
    <x v="1"/>
    <s v="East-Alice"/>
    <n v="81938.880000000005"/>
    <n v="3837.96"/>
    <n v="78100.92"/>
    <n v="0.95316069733928499"/>
    <x v="2"/>
  </r>
  <r>
    <n v="1007"/>
    <d v="2023-03-30T00:00:00"/>
    <x v="2"/>
    <x v="3"/>
    <n v="8088.96"/>
    <n v="14"/>
    <x v="1"/>
    <n v="1122.07"/>
    <n v="1608.76"/>
    <x v="1"/>
    <n v="0.22"/>
    <s v="Cash"/>
    <x v="1"/>
    <s v="East-David"/>
    <n v="113245.44"/>
    <n v="15708.98"/>
    <n v="97536.46"/>
    <n v="0.86128377442835669"/>
    <x v="2"/>
  </r>
  <r>
    <n v="1085"/>
    <d v="2023-03-30T00:00:00"/>
    <x v="2"/>
    <x v="2"/>
    <n v="9278.4"/>
    <n v="45"/>
    <x v="0"/>
    <n v="4763.1099999999997"/>
    <n v="5119.91"/>
    <x v="0"/>
    <n v="0.28999999999999998"/>
    <s v="Cash"/>
    <x v="1"/>
    <s v="West-David"/>
    <n v="417528"/>
    <n v="214339.94999999998"/>
    <n v="203188.05000000002"/>
    <n v="0.48664532678047945"/>
    <x v="2"/>
  </r>
  <r>
    <n v="1009"/>
    <d v="2023-03-30T00:00:00"/>
    <x v="1"/>
    <x v="1"/>
    <n v="2279.1"/>
    <n v="10"/>
    <x v="0"/>
    <n v="4364.3500000000004"/>
    <n v="4710.1000000000004"/>
    <x v="1"/>
    <n v="7.0000000000000007E-2"/>
    <s v="Credit Card"/>
    <x v="0"/>
    <s v="South-Charlie"/>
    <n v="22791"/>
    <n v="43643.5"/>
    <n v="-20852.5"/>
    <n v="-0.91494449563424163"/>
    <x v="2"/>
  </r>
  <r>
    <n v="1047"/>
    <d v="2023-03-31T00:00:00"/>
    <x v="4"/>
    <x v="3"/>
    <n v="3546.15"/>
    <n v="37"/>
    <x v="2"/>
    <n v="3114.88"/>
    <n v="3256.78"/>
    <x v="0"/>
    <n v="0.26"/>
    <s v="Credit Card"/>
    <x v="0"/>
    <s v="East-Alice"/>
    <n v="131207.55000000002"/>
    <n v="115250.56"/>
    <n v="15956.99000000002"/>
    <n v="0.12161640088546748"/>
    <x v="2"/>
  </r>
  <r>
    <n v="1016"/>
    <d v="2023-03-31T00:00:00"/>
    <x v="0"/>
    <x v="3"/>
    <n v="4309.76"/>
    <n v="38"/>
    <x v="2"/>
    <n v="3883.38"/>
    <n v="4152.72"/>
    <x v="0"/>
    <n v="0.26"/>
    <s v="Cash"/>
    <x v="0"/>
    <s v="East-Eve"/>
    <n v="163770.88"/>
    <n v="147568.44"/>
    <n v="16202.440000000002"/>
    <n v="9.8933583308583317E-2"/>
    <x v="2"/>
  </r>
  <r>
    <n v="1004"/>
    <d v="2023-03-31T00:00:00"/>
    <x v="1"/>
    <x v="3"/>
    <n v="6744.46"/>
    <n v="12"/>
    <x v="0"/>
    <n v="4553.2299999999996"/>
    <n v="5038.74"/>
    <x v="1"/>
    <n v="0.09"/>
    <s v="Credit Card"/>
    <x v="1"/>
    <s v="East-Charlie"/>
    <n v="80933.52"/>
    <n v="54638.759999999995"/>
    <n v="26294.760000000009"/>
    <n v="0.32489331985066272"/>
    <x v="2"/>
  </r>
  <r>
    <n v="1025"/>
    <d v="2023-03-31T00:00:00"/>
    <x v="2"/>
    <x v="2"/>
    <n v="4929.5600000000004"/>
    <n v="4"/>
    <x v="1"/>
    <n v="2751.06"/>
    <n v="2976.0099999999902"/>
    <x v="0"/>
    <n v="0.28000000000000003"/>
    <s v="Credit Card"/>
    <x v="0"/>
    <s v="West-David"/>
    <n v="19718.240000000002"/>
    <n v="11004.24"/>
    <n v="8714.0000000000018"/>
    <n v="0.44192585139444501"/>
    <x v="2"/>
  </r>
  <r>
    <n v="1059"/>
    <d v="2023-04-02T00:00:00"/>
    <x v="0"/>
    <x v="2"/>
    <n v="3595.2"/>
    <n v="12"/>
    <x v="3"/>
    <n v="3496.15"/>
    <n v="3955.75"/>
    <x v="0"/>
    <n v="0.28000000000000003"/>
    <s v="Cash"/>
    <x v="1"/>
    <s v="West-Eve"/>
    <n v="43142.399999999994"/>
    <n v="41953.8"/>
    <n v="1188.5999999999913"/>
    <n v="2.7550623052959303E-2"/>
    <x v="3"/>
  </r>
  <r>
    <n v="1048"/>
    <d v="2023-04-02T00:00:00"/>
    <x v="2"/>
    <x v="1"/>
    <n v="9673.65"/>
    <n v="45"/>
    <x v="2"/>
    <n v="4262.21"/>
    <n v="4533.3100000000004"/>
    <x v="0"/>
    <n v="0.27"/>
    <s v="Credit Card"/>
    <x v="0"/>
    <s v="South-David"/>
    <n v="435314.25"/>
    <n v="191799.45"/>
    <n v="243514.8"/>
    <n v="0.55940001964098351"/>
    <x v="3"/>
  </r>
  <r>
    <n v="1062"/>
    <d v="2023-04-02T00:00:00"/>
    <x v="3"/>
    <x v="3"/>
    <n v="6991.95"/>
    <n v="10"/>
    <x v="0"/>
    <n v="1524.88"/>
    <n v="1636.14"/>
    <x v="1"/>
    <n v="0.2"/>
    <s v="Bank Transfer"/>
    <x v="0"/>
    <s v="East-Bob"/>
    <n v="69919.5"/>
    <n v="15248.800000000001"/>
    <n v="54670.7"/>
    <n v="0.78190919557491112"/>
    <x v="3"/>
  </r>
  <r>
    <n v="1005"/>
    <d v="2023-04-02T00:00:00"/>
    <x v="2"/>
    <x v="1"/>
    <n v="1646.45"/>
    <n v="46"/>
    <x v="1"/>
    <n v="4691.42"/>
    <n v="5026.1899999999996"/>
    <x v="0"/>
    <n v="0.22"/>
    <s v="Bank Transfer"/>
    <x v="1"/>
    <s v="South-David"/>
    <n v="75736.7"/>
    <n v="215805.32"/>
    <n v="-140068.62"/>
    <n v="-1.8494154089100792"/>
    <x v="3"/>
  </r>
  <r>
    <n v="1034"/>
    <d v="2023-04-02T00:00:00"/>
    <x v="1"/>
    <x v="2"/>
    <n v="2184.02"/>
    <n v="7"/>
    <x v="2"/>
    <n v="2492.36"/>
    <n v="2738.68"/>
    <x v="0"/>
    <n v="0.11"/>
    <s v="Cash"/>
    <x v="0"/>
    <s v="West-Charlie"/>
    <n v="15288.14"/>
    <n v="17446.52"/>
    <n v="-2158.380000000001"/>
    <n v="-0.1411800258239394"/>
    <x v="3"/>
  </r>
  <r>
    <n v="1095"/>
    <d v="2023-04-03T00:00:00"/>
    <x v="1"/>
    <x v="3"/>
    <n v="5873.59"/>
    <n v="9"/>
    <x v="3"/>
    <n v="2650.95"/>
    <n v="2860.4199999999901"/>
    <x v="1"/>
    <n v="0.12"/>
    <s v="Cash"/>
    <x v="1"/>
    <s v="East-Charlie"/>
    <n v="52862.31"/>
    <n v="23858.55"/>
    <n v="29003.759999999998"/>
    <n v="0.54866614796061697"/>
    <x v="3"/>
  </r>
  <r>
    <n v="1099"/>
    <d v="2023-04-03T00:00:00"/>
    <x v="4"/>
    <x v="0"/>
    <n v="2571.7199999999998"/>
    <n v="30"/>
    <x v="1"/>
    <n v="4495.82"/>
    <n v="4794.0099999999902"/>
    <x v="1"/>
    <n v="0.18"/>
    <s v="Bank Transfer"/>
    <x v="1"/>
    <s v="North-Alice"/>
    <n v="77151.599999999991"/>
    <n v="134874.59999999998"/>
    <n v="-57722.999999999985"/>
    <n v="-0.74817631779509419"/>
    <x v="3"/>
  </r>
  <r>
    <n v="1051"/>
    <d v="2023-04-04T00:00:00"/>
    <x v="3"/>
    <x v="3"/>
    <n v="198.25"/>
    <n v="12"/>
    <x v="2"/>
    <n v="3544.48"/>
    <n v="3723.66"/>
    <x v="0"/>
    <n v="0.19"/>
    <s v="Cash"/>
    <x v="0"/>
    <s v="East-Bob"/>
    <n v="2379"/>
    <n v="42533.760000000002"/>
    <n v="-40154.76"/>
    <n v="-16.878839848675916"/>
    <x v="3"/>
  </r>
  <r>
    <n v="1078"/>
    <d v="2023-04-04T00:00:00"/>
    <x v="2"/>
    <x v="3"/>
    <n v="9631.41"/>
    <n v="49"/>
    <x v="1"/>
    <n v="1833.95"/>
    <n v="2147.14"/>
    <x v="0"/>
    <n v="0.18"/>
    <s v="Credit Card"/>
    <x v="1"/>
    <s v="East-David"/>
    <n v="471939.08999999997"/>
    <n v="89863.55"/>
    <n v="382075.54"/>
    <n v="0.80958655067118934"/>
    <x v="3"/>
  </r>
  <r>
    <n v="1058"/>
    <d v="2023-04-05T00:00:00"/>
    <x v="4"/>
    <x v="0"/>
    <n v="2072.23"/>
    <n v="33"/>
    <x v="1"/>
    <n v="1011.65"/>
    <n v="1084.28"/>
    <x v="0"/>
    <n v="7.0000000000000007E-2"/>
    <s v="Bank Transfer"/>
    <x v="1"/>
    <s v="North-Alice"/>
    <n v="68383.59"/>
    <n v="33384.449999999997"/>
    <n v="34999.14"/>
    <n v="0.51180612190731722"/>
    <x v="3"/>
  </r>
  <r>
    <n v="1087"/>
    <d v="2023-04-05T00:00:00"/>
    <x v="0"/>
    <x v="3"/>
    <n v="848.49"/>
    <n v="43"/>
    <x v="1"/>
    <n v="481"/>
    <n v="531.02"/>
    <x v="1"/>
    <n v="0.17"/>
    <s v="Cash"/>
    <x v="0"/>
    <s v="East-Eve"/>
    <n v="36485.07"/>
    <n v="20683"/>
    <n v="15802.07"/>
    <n v="0.43311058468573582"/>
    <x v="3"/>
  </r>
  <r>
    <n v="1062"/>
    <d v="2023-04-05T00:00:00"/>
    <x v="3"/>
    <x v="0"/>
    <n v="2959.96"/>
    <n v="48"/>
    <x v="3"/>
    <n v="2487.19"/>
    <n v="2521.4499999999998"/>
    <x v="1"/>
    <n v="0.28999999999999998"/>
    <s v="Cash"/>
    <x v="0"/>
    <s v="North-Bob"/>
    <n v="142078.08000000002"/>
    <n v="119385.12"/>
    <n v="22692.960000000021"/>
    <n v="0.15972175299666225"/>
    <x v="3"/>
  </r>
  <r>
    <n v="1052"/>
    <d v="2023-04-05T00:00:00"/>
    <x v="1"/>
    <x v="1"/>
    <n v="4744.16"/>
    <n v="26"/>
    <x v="0"/>
    <n v="4771.99"/>
    <n v="5079.6499999999996"/>
    <x v="1"/>
    <n v="0.28999999999999998"/>
    <s v="Credit Card"/>
    <x v="0"/>
    <s v="South-Charlie"/>
    <n v="123348.16"/>
    <n v="124071.73999999999"/>
    <n v="-723.57999999998719"/>
    <n v="-5.8661596573470346E-3"/>
    <x v="3"/>
  </r>
  <r>
    <n v="1086"/>
    <d v="2023-04-06T00:00:00"/>
    <x v="1"/>
    <x v="2"/>
    <n v="7212.69"/>
    <n v="32"/>
    <x v="2"/>
    <n v="3743.59"/>
    <n v="4116.38"/>
    <x v="0"/>
    <n v="0.11"/>
    <s v="Cash"/>
    <x v="0"/>
    <s v="West-Charlie"/>
    <n v="230806.08"/>
    <n v="119794.88"/>
    <n v="111011.19999999998"/>
    <n v="0.4809717317672047"/>
    <x v="3"/>
  </r>
  <r>
    <n v="1026"/>
    <d v="2023-04-06T00:00:00"/>
    <x v="3"/>
    <x v="1"/>
    <n v="927.19"/>
    <n v="4"/>
    <x v="2"/>
    <n v="3993.39"/>
    <n v="4288.3"/>
    <x v="1"/>
    <n v="0.13"/>
    <s v="Credit Card"/>
    <x v="0"/>
    <s v="South-Bob"/>
    <n v="3708.76"/>
    <n v="15973.56"/>
    <n v="-12264.8"/>
    <n v="-3.3069813091167934"/>
    <x v="3"/>
  </r>
  <r>
    <n v="1068"/>
    <d v="2023-04-06T00:00:00"/>
    <x v="4"/>
    <x v="1"/>
    <n v="9093.5"/>
    <n v="31"/>
    <x v="0"/>
    <n v="3169.37"/>
    <n v="3304.15"/>
    <x v="0"/>
    <n v="0.25"/>
    <s v="Credit Card"/>
    <x v="1"/>
    <s v="South-Alice"/>
    <n v="281898.5"/>
    <n v="98250.47"/>
    <n v="183648.03"/>
    <n v="0.65146863144003964"/>
    <x v="3"/>
  </r>
  <r>
    <n v="1051"/>
    <d v="2023-04-07T00:00:00"/>
    <x v="4"/>
    <x v="2"/>
    <n v="5262.45"/>
    <n v="23"/>
    <x v="2"/>
    <n v="3325.43"/>
    <n v="3401.1"/>
    <x v="1"/>
    <n v="0.1"/>
    <s v="Cash"/>
    <x v="0"/>
    <s v="West-Alice"/>
    <n v="121036.34999999999"/>
    <n v="76484.89"/>
    <n v="44551.459999999992"/>
    <n v="0.36808330720481902"/>
    <x v="3"/>
  </r>
  <r>
    <n v="1033"/>
    <d v="2023-04-07T00:00:00"/>
    <x v="3"/>
    <x v="3"/>
    <n v="5509.66"/>
    <n v="4"/>
    <x v="3"/>
    <n v="2000.75"/>
    <n v="2426.9899999999998"/>
    <x v="0"/>
    <n v="0.17"/>
    <s v="Bank Transfer"/>
    <x v="0"/>
    <s v="East-Bob"/>
    <n v="22038.639999999999"/>
    <n v="8003"/>
    <n v="14035.64"/>
    <n v="0.63686506971392065"/>
    <x v="3"/>
  </r>
  <r>
    <n v="1009"/>
    <d v="2023-04-08T00:00:00"/>
    <x v="1"/>
    <x v="1"/>
    <n v="2945.87"/>
    <n v="32"/>
    <x v="0"/>
    <n v="3219.88"/>
    <n v="3384.5"/>
    <x v="0"/>
    <n v="0.14000000000000001"/>
    <s v="Cash"/>
    <x v="1"/>
    <s v="South-Charlie"/>
    <n v="94267.839999999997"/>
    <n v="103036.16"/>
    <n v="-8768.320000000007"/>
    <n v="-9.3014966716114506E-2"/>
    <x v="3"/>
  </r>
  <r>
    <n v="1098"/>
    <d v="2023-04-08T00:00:00"/>
    <x v="0"/>
    <x v="0"/>
    <n v="9452.89"/>
    <n v="5"/>
    <x v="2"/>
    <n v="2947.22"/>
    <n v="3145.27"/>
    <x v="1"/>
    <n v="0.1"/>
    <s v="Credit Card"/>
    <x v="1"/>
    <s v="North-Eve"/>
    <n v="47264.45"/>
    <n v="14736.099999999999"/>
    <n v="32528.35"/>
    <n v="0.68822021625132634"/>
    <x v="3"/>
  </r>
  <r>
    <n v="1096"/>
    <d v="2023-04-08T00:00:00"/>
    <x v="1"/>
    <x v="1"/>
    <n v="5935.59"/>
    <n v="45"/>
    <x v="0"/>
    <n v="357.92"/>
    <n v="461.3"/>
    <x v="0"/>
    <n v="0.28000000000000003"/>
    <s v="Cash"/>
    <x v="0"/>
    <s v="South-Charlie"/>
    <n v="267101.55"/>
    <n v="16106.400000000001"/>
    <n v="250995.15"/>
    <n v="0.9396993390716003"/>
    <x v="3"/>
  </r>
  <r>
    <n v="1061"/>
    <d v="2023-04-08T00:00:00"/>
    <x v="1"/>
    <x v="3"/>
    <n v="3988.03"/>
    <n v="29"/>
    <x v="0"/>
    <n v="1221.74"/>
    <n v="1611.92"/>
    <x v="1"/>
    <n v="0.15"/>
    <s v="Cash"/>
    <x v="1"/>
    <s v="East-Charlie"/>
    <n v="115652.87000000001"/>
    <n v="35430.46"/>
    <n v="80222.41"/>
    <n v="0.69364824236527811"/>
    <x v="3"/>
  </r>
  <r>
    <n v="1007"/>
    <d v="2023-04-08T00:00:00"/>
    <x v="1"/>
    <x v="3"/>
    <n v="3758.78"/>
    <n v="13"/>
    <x v="0"/>
    <n v="3597.2"/>
    <n v="4071.8199999999902"/>
    <x v="0"/>
    <n v="0.28999999999999998"/>
    <s v="Bank Transfer"/>
    <x v="0"/>
    <s v="East-Charlie"/>
    <n v="48864.14"/>
    <n v="46763.6"/>
    <n v="2100.5400000000009"/>
    <n v="4.2987352279196991E-2"/>
    <x v="3"/>
  </r>
  <r>
    <n v="1039"/>
    <d v="2023-04-09T00:00:00"/>
    <x v="4"/>
    <x v="0"/>
    <n v="763.04"/>
    <n v="3"/>
    <x v="3"/>
    <n v="391.19"/>
    <n v="471.75"/>
    <x v="0"/>
    <n v="0.27"/>
    <s v="Cash"/>
    <x v="0"/>
    <s v="North-Alice"/>
    <n v="2289.12"/>
    <n v="1173.57"/>
    <n v="1115.55"/>
    <n v="0.4873270077584399"/>
    <x v="3"/>
  </r>
  <r>
    <n v="1059"/>
    <d v="2023-04-09T00:00:00"/>
    <x v="1"/>
    <x v="1"/>
    <n v="8063.7"/>
    <n v="1"/>
    <x v="2"/>
    <n v="332.62"/>
    <n v="612.46"/>
    <x v="0"/>
    <n v="0.24"/>
    <s v="Cash"/>
    <x v="1"/>
    <s v="South-Charlie"/>
    <n v="8063.7"/>
    <n v="332.62"/>
    <n v="7731.08"/>
    <n v="0.95875094559569429"/>
    <x v="3"/>
  </r>
  <r>
    <n v="1083"/>
    <d v="2023-04-11T00:00:00"/>
    <x v="3"/>
    <x v="2"/>
    <n v="618.30999999999995"/>
    <n v="29"/>
    <x v="1"/>
    <n v="2408.81"/>
    <n v="2624.09"/>
    <x v="0"/>
    <n v="0.14000000000000001"/>
    <s v="Cash"/>
    <x v="0"/>
    <s v="West-Bob"/>
    <n v="17930.989999999998"/>
    <n v="69855.490000000005"/>
    <n v="-51924.500000000007"/>
    <n v="-2.8957966068800447"/>
    <x v="3"/>
  </r>
  <r>
    <n v="1014"/>
    <d v="2023-04-11T00:00:00"/>
    <x v="4"/>
    <x v="1"/>
    <n v="9582.1200000000008"/>
    <n v="38"/>
    <x v="3"/>
    <n v="2091.21"/>
    <n v="2527"/>
    <x v="0"/>
    <n v="0.01"/>
    <s v="Credit Card"/>
    <x v="0"/>
    <s v="South-Alice"/>
    <n v="364120.56000000006"/>
    <n v="79465.98"/>
    <n v="284654.58000000007"/>
    <n v="0.78175915141951891"/>
    <x v="3"/>
  </r>
  <r>
    <n v="1002"/>
    <d v="2023-04-11T00:00:00"/>
    <x v="3"/>
    <x v="0"/>
    <n v="1942.75"/>
    <n v="21"/>
    <x v="3"/>
    <n v="914.22"/>
    <n v="971.57"/>
    <x v="0"/>
    <n v="0.14000000000000001"/>
    <s v="Cash"/>
    <x v="0"/>
    <s v="North-Bob"/>
    <n v="40797.75"/>
    <n v="19198.62"/>
    <n v="21599.13"/>
    <n v="0.52941963711234075"/>
    <x v="3"/>
  </r>
  <r>
    <n v="1067"/>
    <d v="2023-04-11T00:00:00"/>
    <x v="3"/>
    <x v="3"/>
    <n v="8963.93"/>
    <n v="17"/>
    <x v="3"/>
    <n v="2831.58"/>
    <n v="3186.15"/>
    <x v="1"/>
    <n v="0.24"/>
    <s v="Bank Transfer"/>
    <x v="1"/>
    <s v="East-Bob"/>
    <n v="152386.81"/>
    <n v="48136.86"/>
    <n v="104249.95"/>
    <n v="0.68411399910530313"/>
    <x v="3"/>
  </r>
  <r>
    <n v="1063"/>
    <d v="2023-04-12T00:00:00"/>
    <x v="1"/>
    <x v="0"/>
    <n v="5886.04"/>
    <n v="40"/>
    <x v="2"/>
    <n v="2101.3200000000002"/>
    <n v="2440.63"/>
    <x v="1"/>
    <n v="0.26"/>
    <s v="Bank Transfer"/>
    <x v="1"/>
    <s v="North-Charlie"/>
    <n v="235441.6"/>
    <n v="84052.800000000003"/>
    <n v="151388.79999999999"/>
    <n v="0.64299936799613999"/>
    <x v="3"/>
  </r>
  <r>
    <n v="1081"/>
    <d v="2023-04-12T00:00:00"/>
    <x v="3"/>
    <x v="1"/>
    <n v="9680.84"/>
    <n v="19"/>
    <x v="3"/>
    <n v="2443.69"/>
    <n v="2462.34"/>
    <x v="1"/>
    <n v="7.0000000000000007E-2"/>
    <s v="Bank Transfer"/>
    <x v="1"/>
    <s v="South-Bob"/>
    <n v="183935.96"/>
    <n v="46430.11"/>
    <n v="137505.84999999998"/>
    <n v="0.74757459063469689"/>
    <x v="3"/>
  </r>
  <r>
    <n v="1091"/>
    <d v="2023-04-13T00:00:00"/>
    <x v="0"/>
    <x v="2"/>
    <n v="9146.51"/>
    <n v="36"/>
    <x v="2"/>
    <n v="3951.59"/>
    <n v="4387.01"/>
    <x v="1"/>
    <n v="7.0000000000000007E-2"/>
    <s v="Bank Transfer"/>
    <x v="1"/>
    <s v="West-Eve"/>
    <n v="329274.36"/>
    <n v="142257.24"/>
    <n v="187017.12"/>
    <n v="0.56796745425304296"/>
    <x v="3"/>
  </r>
  <r>
    <n v="1008"/>
    <d v="2023-04-13T00:00:00"/>
    <x v="1"/>
    <x v="1"/>
    <n v="5104.54"/>
    <n v="24"/>
    <x v="1"/>
    <n v="4739.13"/>
    <n v="4868.95"/>
    <x v="1"/>
    <n v="0.14000000000000001"/>
    <s v="Credit Card"/>
    <x v="1"/>
    <s v="South-Charlie"/>
    <n v="122508.95999999999"/>
    <n v="113739.12"/>
    <n v="8769.8399999999965"/>
    <n v="7.1585294659264082E-2"/>
    <x v="3"/>
  </r>
  <r>
    <n v="1034"/>
    <d v="2023-04-14T00:00:00"/>
    <x v="4"/>
    <x v="2"/>
    <n v="534.61"/>
    <n v="3"/>
    <x v="0"/>
    <n v="3472.51"/>
    <n v="3732"/>
    <x v="1"/>
    <n v="0.06"/>
    <s v="Cash"/>
    <x v="0"/>
    <s v="West-Alice"/>
    <n v="1603.83"/>
    <n v="10417.530000000001"/>
    <n v="-8813.7000000000007"/>
    <n v="-5.4954078674173701"/>
    <x v="3"/>
  </r>
  <r>
    <n v="1099"/>
    <d v="2023-04-14T00:00:00"/>
    <x v="4"/>
    <x v="3"/>
    <n v="9948.7099999999991"/>
    <n v="27"/>
    <x v="3"/>
    <n v="4929.55"/>
    <n v="4990.33"/>
    <x v="0"/>
    <n v="0.28999999999999998"/>
    <s v="Credit Card"/>
    <x v="0"/>
    <s v="East-Alice"/>
    <n v="268615.17"/>
    <n v="133097.85"/>
    <n v="135517.31999999998"/>
    <n v="0.50450359895906094"/>
    <x v="3"/>
  </r>
  <r>
    <n v="1047"/>
    <d v="2023-04-14T00:00:00"/>
    <x v="0"/>
    <x v="2"/>
    <n v="7146.06"/>
    <n v="16"/>
    <x v="0"/>
    <n v="3966.86"/>
    <n v="4321.04"/>
    <x v="0"/>
    <n v="0.23"/>
    <s v="Credit Card"/>
    <x v="1"/>
    <s v="West-Eve"/>
    <n v="114336.96000000001"/>
    <n v="63469.760000000002"/>
    <n v="50867.200000000004"/>
    <n v="0.44488851199122315"/>
    <x v="3"/>
  </r>
  <r>
    <n v="1032"/>
    <d v="2023-04-14T00:00:00"/>
    <x v="2"/>
    <x v="0"/>
    <n v="2286.44"/>
    <n v="45"/>
    <x v="0"/>
    <n v="3712.35"/>
    <n v="3780.88"/>
    <x v="1"/>
    <n v="7.0000000000000007E-2"/>
    <s v="Cash"/>
    <x v="1"/>
    <s v="North-David"/>
    <n v="102889.8"/>
    <n v="167055.75"/>
    <n v="-64165.95"/>
    <n v="-0.62363762005563228"/>
    <x v="3"/>
  </r>
  <r>
    <n v="1052"/>
    <d v="2023-04-14T00:00:00"/>
    <x v="2"/>
    <x v="0"/>
    <n v="1834.7"/>
    <n v="5"/>
    <x v="1"/>
    <n v="745.71"/>
    <n v="856.91"/>
    <x v="0"/>
    <n v="0.23"/>
    <s v="Bank Transfer"/>
    <x v="1"/>
    <s v="North-David"/>
    <n v="9173.5"/>
    <n v="3728.55"/>
    <n v="5444.95"/>
    <n v="0.59355207935902321"/>
    <x v="3"/>
  </r>
  <r>
    <n v="1001"/>
    <d v="2023-04-14T00:00:00"/>
    <x v="2"/>
    <x v="3"/>
    <n v="5488.11"/>
    <n v="2"/>
    <x v="2"/>
    <n v="2631.68"/>
    <n v="2904.06"/>
    <x v="1"/>
    <n v="0.15"/>
    <s v="Bank Transfer"/>
    <x v="0"/>
    <s v="East-David"/>
    <n v="10976.22"/>
    <n v="5263.36"/>
    <n v="5712.86"/>
    <n v="0.52047608375196563"/>
    <x v="3"/>
  </r>
  <r>
    <n v="1013"/>
    <d v="2023-04-15T00:00:00"/>
    <x v="0"/>
    <x v="0"/>
    <n v="7255.1"/>
    <n v="42"/>
    <x v="1"/>
    <n v="1375.57"/>
    <n v="1729.71"/>
    <x v="1"/>
    <n v="0.04"/>
    <s v="Cash"/>
    <x v="0"/>
    <s v="North-Eve"/>
    <n v="304714.2"/>
    <n v="57773.939999999995"/>
    <n v="246940.26"/>
    <n v="0.81039958098441101"/>
    <x v="3"/>
  </r>
  <r>
    <n v="1010"/>
    <d v="2023-04-15T00:00:00"/>
    <x v="1"/>
    <x v="0"/>
    <n v="4733.88"/>
    <n v="4"/>
    <x v="3"/>
    <n v="4943.03"/>
    <n v="5442.15"/>
    <x v="0"/>
    <n v="0.28999999999999998"/>
    <s v="Cash"/>
    <x v="0"/>
    <s v="North-Charlie"/>
    <n v="18935.52"/>
    <n v="19772.12"/>
    <n v="-836.59999999999854"/>
    <n v="-4.4181517064226308E-2"/>
    <x v="3"/>
  </r>
  <r>
    <n v="1081"/>
    <d v="2023-04-16T00:00:00"/>
    <x v="1"/>
    <x v="2"/>
    <n v="2896.71"/>
    <n v="44"/>
    <x v="2"/>
    <n v="1362.15"/>
    <n v="1844.07"/>
    <x v="1"/>
    <n v="0.28999999999999998"/>
    <s v="Credit Card"/>
    <x v="0"/>
    <s v="West-Charlie"/>
    <n v="127455.24"/>
    <n v="59934.600000000006"/>
    <n v="67520.639999999999"/>
    <n v="0.52975962384912534"/>
    <x v="3"/>
  </r>
  <r>
    <n v="1027"/>
    <d v="2023-04-16T00:00:00"/>
    <x v="4"/>
    <x v="3"/>
    <n v="8241.57"/>
    <n v="7"/>
    <x v="3"/>
    <n v="2371.85"/>
    <n v="2457.29"/>
    <x v="1"/>
    <n v="0.03"/>
    <s v="Cash"/>
    <x v="1"/>
    <s v="East-Alice"/>
    <n v="57690.99"/>
    <n v="16602.95"/>
    <n v="41088.039999999994"/>
    <n v="0.7122089601859839"/>
    <x v="3"/>
  </r>
  <r>
    <n v="1052"/>
    <d v="2023-04-17T00:00:00"/>
    <x v="4"/>
    <x v="1"/>
    <n v="8448.93"/>
    <n v="2"/>
    <x v="3"/>
    <n v="1935.41"/>
    <n v="2305.44"/>
    <x v="0"/>
    <n v="0.22"/>
    <s v="Credit Card"/>
    <x v="0"/>
    <s v="South-Alice"/>
    <n v="16897.86"/>
    <n v="3870.82"/>
    <n v="13027.04"/>
    <n v="0.7709283897487611"/>
    <x v="3"/>
  </r>
  <r>
    <n v="1061"/>
    <d v="2023-04-18T00:00:00"/>
    <x v="0"/>
    <x v="0"/>
    <n v="3774.02"/>
    <n v="47"/>
    <x v="2"/>
    <n v="146.27000000000001"/>
    <n v="498.46"/>
    <x v="1"/>
    <n v="0.06"/>
    <s v="Cash"/>
    <x v="1"/>
    <s v="North-Eve"/>
    <n v="177378.94"/>
    <n v="6874.6900000000005"/>
    <n v="170504.25"/>
    <n v="0.9612429186914748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B76058-7172-4260-8790-62B01AC3B7F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I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Sales_Rep" fld="1" subtotal="count" baseField="0" baseItem="0"/>
  </dataField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asthaKumari_Vaishnani_ExcelDashboard.xlsx!SalesMaster">
        <x15:activeTabTopLevelEntity name="[Sales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6C0CB3-34AF-48D1-80A6-C5F495C693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4:B19" firstHeaderRow="1" firstDataRow="1" firstDataCol="1"/>
  <pivotFields count="19">
    <pivotField showAll="0"/>
    <pivotField numFmtId="14" showAll="0"/>
    <pivotField showAll="0"/>
    <pivotField showAll="0">
      <items count="5">
        <item x="3"/>
        <item x="0"/>
        <item x="1"/>
        <item x="2"/>
        <item t="default"/>
      </items>
    </pivotField>
    <pivotField showAll="0"/>
    <pivotField showAll="0"/>
    <pivotField showAll="0">
      <items count="5">
        <item x="0"/>
        <item x="2"/>
        <item x="3"/>
        <item x="1"/>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 dataField="1" showAll="0"/>
    <pivotField showAll="0"/>
    <pivotField showAll="0"/>
    <pivotField numFmtId="10" showAll="0"/>
    <pivotField axis="axisRow" showAll="0">
      <items count="5">
        <item x="0"/>
        <item x="1"/>
        <item x="2"/>
        <item x="3"/>
        <item t="default"/>
      </items>
    </pivotField>
  </pivotFields>
  <rowFields count="1">
    <field x="18"/>
  </rowFields>
  <rowItems count="5">
    <i>
      <x/>
    </i>
    <i>
      <x v="1"/>
    </i>
    <i>
      <x v="2"/>
    </i>
    <i>
      <x v="3"/>
    </i>
    <i t="grand">
      <x/>
    </i>
  </rowItems>
  <colItems count="1">
    <i/>
  </colItems>
  <dataFields count="1">
    <dataField name="Sum of Total_Sales" fld="14" baseField="0" baseItem="0"/>
  </dataFields>
  <chartFormats count="3">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8A1892-6C29-42D0-A268-D0A45F8697F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0:J35" firstHeaderRow="0" firstDataRow="1" firstDataCol="1"/>
  <pivotFields count="19">
    <pivotField showAll="0"/>
    <pivotField numFmtId="14" showAll="0"/>
    <pivotField showAll="0"/>
    <pivotField axis="axisRow" showAll="0">
      <items count="5">
        <item x="3"/>
        <item x="0"/>
        <item x="1"/>
        <item x="2"/>
        <item t="default"/>
      </items>
    </pivotField>
    <pivotField showAll="0"/>
    <pivotField showAll="0"/>
    <pivotField showAll="0">
      <items count="5">
        <item x="0"/>
        <item x="2"/>
        <item x="3"/>
        <item x="1"/>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 dataField="1" showAll="0"/>
    <pivotField showAll="0"/>
    <pivotField dataField="1" showAll="0"/>
    <pivotField numFmtId="10" showAll="0"/>
    <pivotField showAll="0"/>
  </pivotFields>
  <rowFields count="1">
    <field x="3"/>
  </rowFields>
  <rowItems count="5">
    <i>
      <x/>
    </i>
    <i>
      <x v="1"/>
    </i>
    <i>
      <x v="2"/>
    </i>
    <i>
      <x v="3"/>
    </i>
    <i t="grand">
      <x/>
    </i>
  </rowItems>
  <colFields count="1">
    <field x="-2"/>
  </colFields>
  <colItems count="2">
    <i>
      <x/>
    </i>
    <i i="1">
      <x v="1"/>
    </i>
  </colItems>
  <dataFields count="2">
    <dataField name="Sum of Total_Sales" fld="14" baseField="0" baseItem="0"/>
    <dataField name="Sum of Net Profit" fld="1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DBE3CB-A7B6-45D0-8795-02CC78D67B1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0:B36" firstHeaderRow="1" firstDataRow="1" firstDataCol="1"/>
  <pivotFields count="19">
    <pivotField showAll="0"/>
    <pivotField numFmtId="14" showAll="0"/>
    <pivotField axis="axisRow" showAll="0" measureFilter="1">
      <items count="6">
        <item x="4"/>
        <item x="3"/>
        <item x="1"/>
        <item x="2"/>
        <item x="0"/>
        <item t="default"/>
      </items>
    </pivotField>
    <pivotField showAll="0">
      <items count="5">
        <item x="3"/>
        <item x="0"/>
        <item x="1"/>
        <item x="2"/>
        <item t="default"/>
      </items>
    </pivotField>
    <pivotField showAll="0"/>
    <pivotField showAll="0"/>
    <pivotField showAll="0">
      <items count="5">
        <item x="0"/>
        <item x="2"/>
        <item x="3"/>
        <item x="1"/>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 dataField="1" showAll="0"/>
    <pivotField showAll="0"/>
    <pivotField showAll="0"/>
    <pivotField numFmtId="10" showAll="0"/>
    <pivotField showAll="0"/>
  </pivotFields>
  <rowFields count="1">
    <field x="2"/>
  </rowFields>
  <rowItems count="6">
    <i>
      <x/>
    </i>
    <i>
      <x v="1"/>
    </i>
    <i>
      <x v="2"/>
    </i>
    <i>
      <x v="3"/>
    </i>
    <i>
      <x v="4"/>
    </i>
    <i t="grand">
      <x/>
    </i>
  </rowItems>
  <colItems count="1">
    <i/>
  </colItems>
  <dataFields count="1">
    <dataField name="Sum of Total_Sales" fld="14" baseField="0" baseItem="0"/>
  </dataFields>
  <chartFormats count="2">
    <chartFormat chart="8"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E196A8-68D7-431E-B8B1-4ED1E5647E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14:I19" firstHeaderRow="1" firstDataRow="1" firstDataCol="1"/>
  <pivotFields count="19">
    <pivotField showAll="0"/>
    <pivotField numFmtId="14" showAll="0"/>
    <pivotField showAll="0"/>
    <pivotField showAll="0">
      <items count="5">
        <item x="3"/>
        <item x="0"/>
        <item x="1"/>
        <item x="2"/>
        <item t="default"/>
      </items>
    </pivotField>
    <pivotField showAll="0"/>
    <pivotField showAll="0"/>
    <pivotField axis="axisRow" showAll="0">
      <items count="5">
        <item x="0"/>
        <item x="2"/>
        <item x="3"/>
        <item x="1"/>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dataField="1" showAll="0"/>
    <pivotField numFmtId="10" showAll="0"/>
    <pivotField showAll="0"/>
  </pivotFields>
  <rowFields count="1">
    <field x="6"/>
  </rowFields>
  <rowItems count="5">
    <i>
      <x/>
    </i>
    <i>
      <x v="1"/>
    </i>
    <i>
      <x v="2"/>
    </i>
    <i>
      <x v="3"/>
    </i>
    <i t="grand">
      <x/>
    </i>
  </rowItems>
  <colItems count="1">
    <i/>
  </colItems>
  <dataFields count="1">
    <dataField name="Sum of Net Profit" fld="16" baseField="0" baseItem="0"/>
  </dataFields>
  <chartFormats count="10">
    <chartFormat chart="1"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0"/>
          </reference>
        </references>
      </pivotArea>
    </chartFormat>
    <chartFormat chart="5" format="8">
      <pivotArea type="data" outline="0" fieldPosition="0">
        <references count="2">
          <reference field="4294967294" count="1" selected="0">
            <x v="0"/>
          </reference>
          <reference field="6" count="1" selected="0">
            <x v="1"/>
          </reference>
        </references>
      </pivotArea>
    </chartFormat>
    <chartFormat chart="5" format="9">
      <pivotArea type="data" outline="0" fieldPosition="0">
        <references count="2">
          <reference field="4294967294" count="1" selected="0">
            <x v="0"/>
          </reference>
          <reference field="6" count="1" selected="0">
            <x v="2"/>
          </reference>
        </references>
      </pivotArea>
    </chartFormat>
    <chartFormat chart="5" format="10">
      <pivotArea type="data" outline="0" fieldPosition="0">
        <references count="2">
          <reference field="4294967294" count="1" selected="0">
            <x v="0"/>
          </reference>
          <reference field="6" count="1" selected="0">
            <x v="3"/>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3BAE538-FD79-48E9-AE6F-4009DF73AE0C}" sourceName="Customer_Type">
  <pivotTables>
    <pivotTable tabId="4" name="PivotTable1"/>
    <pivotTable tabId="4" name="PivotTable2"/>
    <pivotTable tabId="4" name="PivotTable3"/>
    <pivotTable tabId="4" name="PivotTable4"/>
  </pivotTables>
  <data>
    <tabular pivotCacheId="106686288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7DFB98AF-1EB4-4450-89AB-2D0F1F2631C0}" sourceName="Sales_Channel">
  <pivotTables>
    <pivotTable tabId="4" name="PivotTable1"/>
    <pivotTable tabId="4" name="PivotTable2"/>
    <pivotTable tabId="4" name="PivotTable3"/>
    <pivotTable tabId="4" name="PivotTable4"/>
  </pivotTables>
  <data>
    <tabular pivotCacheId="106686288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EB11B7-88D4-4BEC-A653-6763B4A53872}" sourceName="Region">
  <pivotTables>
    <pivotTable tabId="4" name="PivotTable1"/>
    <pivotTable tabId="4" name="PivotTable2"/>
    <pivotTable tabId="4" name="PivotTable3"/>
    <pivotTable tabId="4" name="PivotTable4"/>
  </pivotTables>
  <data>
    <tabular pivotCacheId="1066862880">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DC3F025-E83A-422B-B8A2-6AF96EC84D50}" sourceName="Product_Category">
  <pivotTables>
    <pivotTable tabId="4" name="PivotTable1"/>
    <pivotTable tabId="4" name="PivotTable2"/>
    <pivotTable tabId="4" name="PivotTable3"/>
    <pivotTable tabId="4" name="PivotTable4"/>
  </pivotTables>
  <data>
    <tabular pivotCacheId="1066862880">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1" xr10:uid="{850938A7-311C-4B9F-B278-C666C6CE782D}" cache="Slicer_Customer_Type" caption="Customer_Type" rowHeight="234950"/>
  <slicer name="Sales_Channel 1" xr10:uid="{4A45507B-3C46-4545-8698-231276F95BF5}" cache="Slicer_Sales_Channel" caption="Sales_Channel" rowHeight="234950"/>
  <slicer name="Region 1" xr10:uid="{5018DFDB-9F11-4ECC-AF9E-7DBEB96B1726}" cache="Slicer_Region" caption="Region" rowHeight="234950"/>
  <slicer name="Product_Category 1" xr10:uid="{D3FA47F1-EE4A-4F5E-A958-651E4A374505}" cache="Slicer_Product_Category" caption="Product_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77BACBB3-6C6E-436E-A022-801E9F35DE2F}" cache="Slicer_Customer_Type" caption="Customer_Type" rowHeight="234950"/>
  <slicer name="Sales_Channel" xr10:uid="{690A11F2-302C-4AD6-9695-5C8F0659C073}" cache="Slicer_Sales_Channel" caption="Sales_Channel" rowHeight="234950"/>
  <slicer name="Region" xr10:uid="{9984E32C-8DFF-45AA-A48C-AC8A2A6272C0}" cache="Slicer_Region" caption="Region" rowHeight="234950"/>
  <slicer name="Product_Category" xr10:uid="{51500E0C-EB2B-43B0-BDB0-A3531666A0D6}" cache="Slicer_Product_Category" caption="Product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A40B2B-8D09-4891-B383-6B3CE951B720}" name="SalesMaster" displayName="SalesMaster" ref="A1:T301" totalsRowShown="0">
  <autoFilter ref="A1:T301" xr:uid="{C1A40B2B-8D09-4891-B383-6B3CE951B720}"/>
  <tableColumns count="20">
    <tableColumn id="1" xr3:uid="{0CB3DA60-8975-46BA-9514-B3B1749FFAA1}" name="Product_ID"/>
    <tableColumn id="2" xr3:uid="{813A5CF7-71F0-4980-8DE7-EE0D2E55FC86}" name="Sale_Date" dataDxfId="7"/>
    <tableColumn id="3" xr3:uid="{5550E53B-5750-4F72-95D8-CD9647C2C7D9}" name="Sales_Rep"/>
    <tableColumn id="4" xr3:uid="{6600893F-A899-43F6-8A37-3E419D6A24C3}" name="Region"/>
    <tableColumn id="5" xr3:uid="{0A44BA8E-6759-4BC9-8F98-BC2835B16FF1}" name="Sales_Amount"/>
    <tableColumn id="6" xr3:uid="{737A5A63-0358-4826-96EB-AE5CB78A7B16}" name="Quantity_Sold"/>
    <tableColumn id="7" xr3:uid="{E1201909-63CF-43D7-97F0-3B8ED333CEAD}" name="Product_Category"/>
    <tableColumn id="8" xr3:uid="{125EFFB6-D86D-434D-941F-FE664C281822}" name="Unit_Cost"/>
    <tableColumn id="9" xr3:uid="{36914560-140F-460E-A1EF-09B6DC2DBDE7}" name="Unit_Price"/>
    <tableColumn id="10" xr3:uid="{C0496725-E49B-4748-B019-3417A98FB48C}" name="Customer_Type"/>
    <tableColumn id="11" xr3:uid="{CEFC749E-48AF-4375-949E-BF9906045197}" name="Discount"/>
    <tableColumn id="12" xr3:uid="{60EFC87D-507F-4B08-B218-E2021C0622D1}" name="Payment_Method"/>
    <tableColumn id="13" xr3:uid="{4595252A-1F29-4674-B2E6-2107CC3B28A6}" name="Sales_Channel"/>
    <tableColumn id="14" xr3:uid="{25741127-8398-4A48-8C55-C0EDE0D55E38}" name="Region_and_Sales_Rep"/>
    <tableColumn id="18" xr3:uid="{AEFE72FD-94C4-4CE4-AAA8-6853DFC0DD51}" name="Total_Sales" dataDxfId="6">
      <calculatedColumnFormula>SalesMaster[[#This Row],[Sales_Amount]]*SalesMaster[[#This Row],[Quantity_Sold]]</calculatedColumnFormula>
    </tableColumn>
    <tableColumn id="15" xr3:uid="{67EDBF57-21D6-4607-A565-3CB9CE98C27E}" name="Total_Cost" dataDxfId="5">
      <calculatedColumnFormula>SalesMaster[[#This Row],[Quantity_Sold]]*SalesMaster[[#This Row],[Unit_Cost]]</calculatedColumnFormula>
    </tableColumn>
    <tableColumn id="16" xr3:uid="{5B795FE0-4528-45B2-AB2B-ADD2B7BE25D8}" name="Net Profit" dataDxfId="4">
      <calculatedColumnFormula>SalesMaster[[#This Row],[Total_Sales]]-SalesMaster[[#This Row],[Total_Cost]]</calculatedColumnFormula>
    </tableColumn>
    <tableColumn id="19" xr3:uid="{70FE81C1-764B-4833-A163-014220F64520}" name="Profit_Margin" dataDxfId="3">
      <calculatedColumnFormula>IFERROR(SalesMaster[Net Profit]/SalesMaster[Total_Sales], 0)</calculatedColumnFormula>
    </tableColumn>
    <tableColumn id="20" xr3:uid="{6F4C6741-D859-4F22-AE90-027B58997205}" name="Month" dataDxfId="2">
      <calculatedColumnFormula>TEXT(SalesMaster[[#This Row],[Sale_Date]], "mmm")</calculatedColumnFormula>
    </tableColumn>
    <tableColumn id="17" xr3:uid="{A0697D49-5E48-4A42-B814-DF9965737769}" name="Performance_Grade" dataDxfId="1">
      <calculatedColumnFormula>IF(SalesMaster[Profit_Margin]&gt;=0.15, "Excellent", IF(SalesMaster[Profit_Margin]&gt;=0.05, "Average", "Needs Improvement"))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0D3C7-3201-4CBF-AF52-E2AD7142591D}">
  <dimension ref="G7:I63"/>
  <sheetViews>
    <sheetView tabSelected="1" topLeftCell="A61" workbookViewId="0">
      <selection activeCell="H77" sqref="H77"/>
    </sheetView>
  </sheetViews>
  <sheetFormatPr defaultRowHeight="14.4"/>
  <cols>
    <col min="1" max="7" width="8.88671875" style="10"/>
    <col min="8" max="8" width="12.44140625" style="10" customWidth="1"/>
    <col min="9" max="9" width="18.5546875" style="10" bestFit="1" customWidth="1"/>
    <col min="10" max="16384" width="8.88671875" style="10"/>
  </cols>
  <sheetData>
    <row r="7" spans="7:9" ht="18">
      <c r="G7" s="11" t="s">
        <v>89</v>
      </c>
      <c r="I7" s="12">
        <f>Visualization!B19</f>
        <v>37645543.140000001</v>
      </c>
    </row>
    <row r="8" spans="7:9" ht="7.2" customHeight="1">
      <c r="I8" s="13"/>
    </row>
    <row r="9" spans="7:9" ht="18">
      <c r="G9" s="11" t="s">
        <v>90</v>
      </c>
      <c r="I9" s="12">
        <f>Visualization!I19</f>
        <v>17485880.199999999</v>
      </c>
    </row>
    <row r="10" spans="7:9" ht="6" customHeight="1"/>
    <row r="11" spans="7:9" ht="18">
      <c r="G11" s="11" t="s">
        <v>91</v>
      </c>
      <c r="I11" s="11">
        <f>SUM('Sales Data'!F2:F301)</f>
        <v>7665</v>
      </c>
    </row>
    <row r="46" spans="7:7" ht="18">
      <c r="G46" s="15" t="s">
        <v>94</v>
      </c>
    </row>
    <row r="48" spans="7:7" ht="15.6">
      <c r="G48" s="16" t="s">
        <v>95</v>
      </c>
    </row>
    <row r="49" spans="7:8" ht="15.6">
      <c r="G49" s="16" t="s">
        <v>96</v>
      </c>
    </row>
    <row r="50" spans="7:8" ht="15.6">
      <c r="G50" s="16" t="s">
        <v>97</v>
      </c>
    </row>
    <row r="63" spans="7:8">
      <c r="H63"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6E0D7-EE58-4203-8E8E-AF4C31CF70D1}">
  <dimension ref="A1:T1001"/>
  <sheetViews>
    <sheetView topLeftCell="M1" workbookViewId="0">
      <selection activeCell="T1" sqref="T1"/>
    </sheetView>
  </sheetViews>
  <sheetFormatPr defaultRowHeight="14.4"/>
  <cols>
    <col min="1" max="1" width="12.33203125" customWidth="1"/>
    <col min="2" max="2" width="11.21875" customWidth="1"/>
    <col min="3" max="3" width="11.33203125" customWidth="1"/>
    <col min="4" max="4" width="8.6640625" customWidth="1"/>
    <col min="5" max="5" width="15" customWidth="1"/>
    <col min="6" max="6" width="14.88671875" customWidth="1"/>
    <col min="7" max="7" width="18.109375" customWidth="1"/>
    <col min="8" max="8" width="11.109375" customWidth="1"/>
    <col min="9" max="9" width="11.5546875" customWidth="1"/>
    <col min="10" max="10" width="16.109375" customWidth="1"/>
    <col min="11" max="11" width="10.21875" customWidth="1"/>
    <col min="12" max="12" width="18.21875" customWidth="1"/>
    <col min="13" max="13" width="15" customWidth="1"/>
    <col min="14" max="14" width="22.33203125" customWidth="1"/>
    <col min="15" max="15" width="13.5546875" style="6" bestFit="1" customWidth="1"/>
    <col min="16" max="16" width="13" style="6" bestFit="1" customWidth="1"/>
    <col min="17" max="17" width="13.5546875" style="6" bestFit="1" customWidth="1"/>
    <col min="18" max="18" width="14.88671875" style="1" bestFit="1" customWidth="1"/>
    <col min="19" max="19" width="9" bestFit="1" customWidth="1"/>
    <col min="20" max="20" width="20.33203125" bestFit="1" customWidth="1"/>
  </cols>
  <sheetData>
    <row r="1" spans="1:20">
      <c r="A1" t="s">
        <v>0</v>
      </c>
      <c r="B1" t="s">
        <v>1</v>
      </c>
      <c r="C1" t="s">
        <v>2</v>
      </c>
      <c r="D1" t="s">
        <v>3</v>
      </c>
      <c r="E1" t="s">
        <v>4</v>
      </c>
      <c r="F1" t="s">
        <v>5</v>
      </c>
      <c r="G1" t="s">
        <v>6</v>
      </c>
      <c r="H1" t="s">
        <v>7</v>
      </c>
      <c r="I1" t="s">
        <v>8</v>
      </c>
      <c r="J1" t="s">
        <v>9</v>
      </c>
      <c r="K1" t="s">
        <v>10</v>
      </c>
      <c r="L1" t="s">
        <v>11</v>
      </c>
      <c r="M1" t="s">
        <v>12</v>
      </c>
      <c r="N1" t="s">
        <v>13</v>
      </c>
      <c r="O1" s="6" t="s">
        <v>56</v>
      </c>
      <c r="P1" s="6" t="s">
        <v>54</v>
      </c>
      <c r="Q1" s="6" t="s">
        <v>55</v>
      </c>
      <c r="R1" s="1" t="s">
        <v>57</v>
      </c>
      <c r="S1" t="s">
        <v>58</v>
      </c>
      <c r="T1" t="s">
        <v>92</v>
      </c>
    </row>
    <row r="2" spans="1:20">
      <c r="A2">
        <v>1008</v>
      </c>
      <c r="B2" s="2">
        <v>44927</v>
      </c>
      <c r="C2" t="s">
        <v>14</v>
      </c>
      <c r="D2" t="s">
        <v>15</v>
      </c>
      <c r="E2">
        <v>5227.8100000000004</v>
      </c>
      <c r="F2">
        <v>38</v>
      </c>
      <c r="G2" t="s">
        <v>16</v>
      </c>
      <c r="H2">
        <v>4635.2299999999996</v>
      </c>
      <c r="I2">
        <v>5075.4399999999996</v>
      </c>
      <c r="J2" t="s">
        <v>17</v>
      </c>
      <c r="K2">
        <v>0.05</v>
      </c>
      <c r="L2" t="s">
        <v>18</v>
      </c>
      <c r="M2" t="s">
        <v>19</v>
      </c>
      <c r="N2" t="s">
        <v>20</v>
      </c>
      <c r="O2" s="6">
        <f>SalesMaster[[#This Row],[Sales_Amount]]*SalesMaster[[#This Row],[Quantity_Sold]]</f>
        <v>198656.78000000003</v>
      </c>
      <c r="P2" s="6">
        <f>SalesMaster[[#This Row],[Quantity_Sold]]*SalesMaster[[#This Row],[Unit_Cost]]</f>
        <v>176138.74</v>
      </c>
      <c r="Q2" s="7">
        <f>SalesMaster[[#This Row],[Total_Sales]]-SalesMaster[[#This Row],[Total_Cost]]</f>
        <v>22518.040000000037</v>
      </c>
      <c r="R2" s="1">
        <f>IFERROR(SalesMaster[Net Profit]/SalesMaster[Total_Sales], 0)</f>
        <v>0.11335147987398182</v>
      </c>
      <c r="S2" t="str">
        <f>TEXT(SalesMaster[[#This Row],[Sale_Date]], "mmm")</f>
        <v>Jan</v>
      </c>
      <c r="T2" s="6" t="str">
        <f>IF(SalesMaster[Profit_Margin]&gt;=0.15, "Excellent", IF(SalesMaster[Profit_Margin]&gt;=0.05, "Average", "Needs Improvement"))</f>
        <v>Average</v>
      </c>
    </row>
    <row r="3" spans="1:20">
      <c r="A3">
        <v>1089</v>
      </c>
      <c r="B3" s="2">
        <v>44927</v>
      </c>
      <c r="C3" t="s">
        <v>21</v>
      </c>
      <c r="D3" t="s">
        <v>15</v>
      </c>
      <c r="E3">
        <v>8130.13</v>
      </c>
      <c r="F3">
        <v>35</v>
      </c>
      <c r="G3" t="s">
        <v>16</v>
      </c>
      <c r="H3">
        <v>4071.01</v>
      </c>
      <c r="I3">
        <v>4304.7</v>
      </c>
      <c r="J3" t="s">
        <v>22</v>
      </c>
      <c r="K3">
        <v>0.14000000000000001</v>
      </c>
      <c r="L3" t="s">
        <v>23</v>
      </c>
      <c r="M3" t="s">
        <v>19</v>
      </c>
      <c r="N3" t="s">
        <v>24</v>
      </c>
      <c r="O3" s="6">
        <f>SalesMaster[[#This Row],[Sales_Amount]]*SalesMaster[[#This Row],[Quantity_Sold]]</f>
        <v>284554.55</v>
      </c>
      <c r="P3" s="6">
        <f>SalesMaster[[#This Row],[Quantity_Sold]]*SalesMaster[[#This Row],[Unit_Cost]]</f>
        <v>142485.35</v>
      </c>
      <c r="Q3" s="6">
        <f>SalesMaster[[#This Row],[Total_Sales]]-SalesMaster[[#This Row],[Total_Cost]]</f>
        <v>142069.19999999998</v>
      </c>
      <c r="R3" s="1">
        <f>IFERROR(SalesMaster[Net Profit]/SalesMaster[Total_Sales], 0)</f>
        <v>0.49926876938007136</v>
      </c>
      <c r="S3" t="str">
        <f>TEXT(SalesMaster[[#This Row],[Sale_Date]], "mmm")</f>
        <v>Jan</v>
      </c>
      <c r="T3" s="6" t="str">
        <f>IF(SalesMaster[Profit_Margin]&gt;=0.15, "Excellent", IF(SalesMaster[Profit_Margin]&gt;=0.05, "Average", "Needs Improvement"))</f>
        <v>Excellent</v>
      </c>
    </row>
    <row r="4" spans="1:20">
      <c r="A4">
        <v>1070</v>
      </c>
      <c r="B4" s="2">
        <v>44927</v>
      </c>
      <c r="C4" t="s">
        <v>14</v>
      </c>
      <c r="D4" t="s">
        <v>25</v>
      </c>
      <c r="E4">
        <v>783.18</v>
      </c>
      <c r="F4">
        <v>12</v>
      </c>
      <c r="G4" t="s">
        <v>26</v>
      </c>
      <c r="H4">
        <v>664.33</v>
      </c>
      <c r="I4">
        <v>863.03</v>
      </c>
      <c r="J4" t="s">
        <v>17</v>
      </c>
      <c r="K4">
        <v>0.25</v>
      </c>
      <c r="L4" t="s">
        <v>27</v>
      </c>
      <c r="M4" t="s">
        <v>28</v>
      </c>
      <c r="N4" t="s">
        <v>29</v>
      </c>
      <c r="O4" s="6">
        <f>SalesMaster[[#This Row],[Sales_Amount]]*SalesMaster[[#This Row],[Quantity_Sold]]</f>
        <v>9398.16</v>
      </c>
      <c r="P4" s="6">
        <f>SalesMaster[[#This Row],[Quantity_Sold]]*SalesMaster[[#This Row],[Unit_Cost]]</f>
        <v>7971.9600000000009</v>
      </c>
      <c r="Q4" s="6">
        <f>SalesMaster[[#This Row],[Total_Sales]]-SalesMaster[[#This Row],[Total_Cost]]</f>
        <v>1426.1999999999989</v>
      </c>
      <c r="R4" s="1">
        <f>IFERROR(SalesMaster[Net Profit]/SalesMaster[Total_Sales], 0)</f>
        <v>0.15175310911923173</v>
      </c>
      <c r="S4" t="str">
        <f>TEXT(SalesMaster[[#This Row],[Sale_Date]], "mmm")</f>
        <v>Jan</v>
      </c>
      <c r="T4" s="6" t="str">
        <f>IF(SalesMaster[Profit_Margin]&gt;=0.15, "Excellent", IF(SalesMaster[Profit_Margin]&gt;=0.05, "Average", "Needs Improvement"))</f>
        <v>Excellent</v>
      </c>
    </row>
    <row r="5" spans="1:20">
      <c r="A5">
        <v>1064</v>
      </c>
      <c r="B5" s="2">
        <v>44928</v>
      </c>
      <c r="C5" t="s">
        <v>30</v>
      </c>
      <c r="D5" t="s">
        <v>25</v>
      </c>
      <c r="E5">
        <v>5533.7</v>
      </c>
      <c r="F5">
        <v>10</v>
      </c>
      <c r="G5" t="s">
        <v>31</v>
      </c>
      <c r="H5">
        <v>2242.0100000000002</v>
      </c>
      <c r="I5">
        <v>2282.23</v>
      </c>
      <c r="J5" t="s">
        <v>17</v>
      </c>
      <c r="K5">
        <v>0.2</v>
      </c>
      <c r="L5" t="s">
        <v>23</v>
      </c>
      <c r="M5" t="s">
        <v>19</v>
      </c>
      <c r="N5" t="s">
        <v>32</v>
      </c>
      <c r="O5" s="6">
        <f>SalesMaster[[#This Row],[Sales_Amount]]*SalesMaster[[#This Row],[Quantity_Sold]]</f>
        <v>55337</v>
      </c>
      <c r="P5" s="6">
        <f>SalesMaster[[#This Row],[Quantity_Sold]]*SalesMaster[[#This Row],[Unit_Cost]]</f>
        <v>22420.100000000002</v>
      </c>
      <c r="Q5" s="6">
        <f>SalesMaster[[#This Row],[Total_Sales]]-SalesMaster[[#This Row],[Total_Cost]]</f>
        <v>32916.899999999994</v>
      </c>
      <c r="R5" s="1">
        <f>IFERROR(SalesMaster[Net Profit]/SalesMaster[Total_Sales], 0)</f>
        <v>0.59484431754522282</v>
      </c>
      <c r="S5" t="str">
        <f>TEXT(SalesMaster[[#This Row],[Sale_Date]], "mmm")</f>
        <v>Jan</v>
      </c>
      <c r="T5" s="6" t="str">
        <f>IF(SalesMaster[Profit_Margin]&gt;=0.15, "Excellent", IF(SalesMaster[Profit_Margin]&gt;=0.05, "Average", "Needs Improvement"))</f>
        <v>Excellent</v>
      </c>
    </row>
    <row r="6" spans="1:20">
      <c r="A6">
        <v>1075</v>
      </c>
      <c r="B6" s="2">
        <v>44928</v>
      </c>
      <c r="C6" t="s">
        <v>30</v>
      </c>
      <c r="D6" t="s">
        <v>33</v>
      </c>
      <c r="E6">
        <v>919.09</v>
      </c>
      <c r="F6">
        <v>26</v>
      </c>
      <c r="G6" t="s">
        <v>31</v>
      </c>
      <c r="H6">
        <v>4535.38</v>
      </c>
      <c r="I6">
        <v>4557.5600000000004</v>
      </c>
      <c r="J6" t="s">
        <v>22</v>
      </c>
      <c r="K6">
        <v>0</v>
      </c>
      <c r="L6" t="s">
        <v>23</v>
      </c>
      <c r="M6" t="s">
        <v>19</v>
      </c>
      <c r="N6" t="s">
        <v>34</v>
      </c>
      <c r="O6" s="6">
        <f>SalesMaster[[#This Row],[Sales_Amount]]*SalesMaster[[#This Row],[Quantity_Sold]]</f>
        <v>23896.34</v>
      </c>
      <c r="P6" s="6">
        <f>SalesMaster[[#This Row],[Quantity_Sold]]*SalesMaster[[#This Row],[Unit_Cost]]</f>
        <v>117919.88</v>
      </c>
      <c r="Q6" s="6">
        <f>SalesMaster[[#This Row],[Total_Sales]]-SalesMaster[[#This Row],[Total_Cost]]</f>
        <v>-94023.540000000008</v>
      </c>
      <c r="R6" s="1">
        <f>IFERROR(SalesMaster[Net Profit]/SalesMaster[Total_Sales], 0)</f>
        <v>-3.9346418740275713</v>
      </c>
      <c r="S6" t="str">
        <f>TEXT(SalesMaster[[#This Row],[Sale_Date]], "mmm")</f>
        <v>Jan</v>
      </c>
      <c r="T6" s="6" t="str">
        <f>IF(SalesMaster[Profit_Margin]&gt;=0.15, "Excellent", IF(SalesMaster[Profit_Margin]&gt;=0.05, "Average", "Needs Improvement"))</f>
        <v>Needs Improvement</v>
      </c>
    </row>
    <row r="7" spans="1:20">
      <c r="A7">
        <v>1099</v>
      </c>
      <c r="B7" s="2">
        <v>44929</v>
      </c>
      <c r="C7" t="s">
        <v>35</v>
      </c>
      <c r="D7" t="s">
        <v>36</v>
      </c>
      <c r="E7">
        <v>5613.1</v>
      </c>
      <c r="F7">
        <v>31</v>
      </c>
      <c r="G7" t="s">
        <v>26</v>
      </c>
      <c r="H7">
        <v>4632.8500000000004</v>
      </c>
      <c r="I7">
        <v>4711.7</v>
      </c>
      <c r="J7" t="s">
        <v>22</v>
      </c>
      <c r="K7">
        <v>0.21</v>
      </c>
      <c r="L7" t="s">
        <v>18</v>
      </c>
      <c r="M7" t="s">
        <v>28</v>
      </c>
      <c r="N7" t="s">
        <v>37</v>
      </c>
      <c r="O7" s="6">
        <f>SalesMaster[[#This Row],[Sales_Amount]]*SalesMaster[[#This Row],[Quantity_Sold]]</f>
        <v>174006.1</v>
      </c>
      <c r="P7" s="6">
        <f>SalesMaster[[#This Row],[Quantity_Sold]]*SalesMaster[[#This Row],[Unit_Cost]]</f>
        <v>143618.35</v>
      </c>
      <c r="Q7" s="6">
        <f>SalesMaster[[#This Row],[Total_Sales]]-SalesMaster[[#This Row],[Total_Cost]]</f>
        <v>30387.75</v>
      </c>
      <c r="R7" s="1">
        <f>IFERROR(SalesMaster[Net Profit]/SalesMaster[Total_Sales], 0)</f>
        <v>0.17463611907858403</v>
      </c>
      <c r="S7" t="str">
        <f>TEXT(SalesMaster[[#This Row],[Sale_Date]], "mmm")</f>
        <v>Jan</v>
      </c>
      <c r="T7" s="6" t="str">
        <f>IF(SalesMaster[Profit_Margin]&gt;=0.15, "Excellent", IF(SalesMaster[Profit_Margin]&gt;=0.05, "Average", "Needs Improvement"))</f>
        <v>Excellent</v>
      </c>
    </row>
    <row r="8" spans="1:20">
      <c r="A8">
        <v>1087</v>
      </c>
      <c r="B8" s="2">
        <v>44929</v>
      </c>
      <c r="C8" t="s">
        <v>21</v>
      </c>
      <c r="D8" t="s">
        <v>36</v>
      </c>
      <c r="E8">
        <v>8057.76</v>
      </c>
      <c r="F8">
        <v>20</v>
      </c>
      <c r="G8" t="s">
        <v>26</v>
      </c>
      <c r="H8">
        <v>3625.94</v>
      </c>
      <c r="I8">
        <v>3880.53</v>
      </c>
      <c r="J8" t="s">
        <v>22</v>
      </c>
      <c r="K8">
        <v>0.24</v>
      </c>
      <c r="L8" t="s">
        <v>27</v>
      </c>
      <c r="M8" t="s">
        <v>19</v>
      </c>
      <c r="N8" t="s">
        <v>38</v>
      </c>
      <c r="O8" s="6">
        <f>SalesMaster[[#This Row],[Sales_Amount]]*SalesMaster[[#This Row],[Quantity_Sold]]</f>
        <v>161155.20000000001</v>
      </c>
      <c r="P8" s="6">
        <f>SalesMaster[[#This Row],[Quantity_Sold]]*SalesMaster[[#This Row],[Unit_Cost]]</f>
        <v>72518.8</v>
      </c>
      <c r="Q8" s="6">
        <f>SalesMaster[[#This Row],[Total_Sales]]-SalesMaster[[#This Row],[Total_Cost]]</f>
        <v>88636.400000000009</v>
      </c>
      <c r="R8" s="1">
        <f>IFERROR(SalesMaster[Net Profit]/SalesMaster[Total_Sales], 0)</f>
        <v>0.55000645340640575</v>
      </c>
      <c r="S8" t="str">
        <f>TEXT(SalesMaster[[#This Row],[Sale_Date]], "mmm")</f>
        <v>Jan</v>
      </c>
      <c r="T8" s="6" t="str">
        <f>IF(SalesMaster[Profit_Margin]&gt;=0.15, "Excellent", IF(SalesMaster[Profit_Margin]&gt;=0.05, "Average", "Needs Improvement"))</f>
        <v>Excellent</v>
      </c>
    </row>
    <row r="9" spans="1:20">
      <c r="A9">
        <v>1027</v>
      </c>
      <c r="B9" s="2">
        <v>44929</v>
      </c>
      <c r="C9" t="s">
        <v>35</v>
      </c>
      <c r="D9" t="s">
        <v>36</v>
      </c>
      <c r="E9">
        <v>7648.22</v>
      </c>
      <c r="F9">
        <v>30</v>
      </c>
      <c r="G9" t="s">
        <v>26</v>
      </c>
      <c r="H9">
        <v>745.93</v>
      </c>
      <c r="I9">
        <v>1143.02</v>
      </c>
      <c r="J9" t="s">
        <v>17</v>
      </c>
      <c r="K9">
        <v>0.2</v>
      </c>
      <c r="L9" t="s">
        <v>23</v>
      </c>
      <c r="M9" t="s">
        <v>19</v>
      </c>
      <c r="N9" t="s">
        <v>37</v>
      </c>
      <c r="O9" s="6">
        <f>SalesMaster[[#This Row],[Sales_Amount]]*SalesMaster[[#This Row],[Quantity_Sold]]</f>
        <v>229446.6</v>
      </c>
      <c r="P9" s="6">
        <f>SalesMaster[[#This Row],[Quantity_Sold]]*SalesMaster[[#This Row],[Unit_Cost]]</f>
        <v>22377.899999999998</v>
      </c>
      <c r="Q9" s="6">
        <f>SalesMaster[[#This Row],[Total_Sales]]-SalesMaster[[#This Row],[Total_Cost]]</f>
        <v>207068.7</v>
      </c>
      <c r="R9" s="1">
        <f>IFERROR(SalesMaster[Net Profit]/SalesMaster[Total_Sales], 0)</f>
        <v>0.90247011722989146</v>
      </c>
      <c r="S9" t="str">
        <f>TEXT(SalesMaster[[#This Row],[Sale_Date]], "mmm")</f>
        <v>Jan</v>
      </c>
      <c r="T9" s="6" t="str">
        <f>IF(SalesMaster[Profit_Margin]&gt;=0.15, "Excellent", IF(SalesMaster[Profit_Margin]&gt;=0.05, "Average", "Needs Improvement"))</f>
        <v>Excellent</v>
      </c>
    </row>
    <row r="10" spans="1:20">
      <c r="A10">
        <v>1064</v>
      </c>
      <c r="B10" s="2">
        <v>44930</v>
      </c>
      <c r="C10" t="s">
        <v>14</v>
      </c>
      <c r="D10" t="s">
        <v>36</v>
      </c>
      <c r="E10">
        <v>7412.11</v>
      </c>
      <c r="F10">
        <v>10</v>
      </c>
      <c r="G10" t="s">
        <v>31</v>
      </c>
      <c r="H10">
        <v>4764.96</v>
      </c>
      <c r="I10">
        <v>5074.42</v>
      </c>
      <c r="J10" t="s">
        <v>22</v>
      </c>
      <c r="K10">
        <v>0.12</v>
      </c>
      <c r="L10" t="s">
        <v>18</v>
      </c>
      <c r="M10" t="s">
        <v>19</v>
      </c>
      <c r="N10" t="s">
        <v>39</v>
      </c>
      <c r="O10" s="6">
        <f>SalesMaster[[#This Row],[Sales_Amount]]*SalesMaster[[#This Row],[Quantity_Sold]]</f>
        <v>74121.099999999991</v>
      </c>
      <c r="P10" s="6">
        <f>SalesMaster[[#This Row],[Quantity_Sold]]*SalesMaster[[#This Row],[Unit_Cost]]</f>
        <v>47649.599999999999</v>
      </c>
      <c r="Q10" s="6">
        <f>SalesMaster[[#This Row],[Total_Sales]]-SalesMaster[[#This Row],[Total_Cost]]</f>
        <v>26471.499999999993</v>
      </c>
      <c r="R10" s="1">
        <f>IFERROR(SalesMaster[Net Profit]/SalesMaster[Total_Sales], 0)</f>
        <v>0.35713852061019058</v>
      </c>
      <c r="S10" t="str">
        <f>TEXT(SalesMaster[[#This Row],[Sale_Date]], "mmm")</f>
        <v>Jan</v>
      </c>
      <c r="T10" s="6" t="str">
        <f>IF(SalesMaster[Profit_Margin]&gt;=0.15, "Excellent", IF(SalesMaster[Profit_Margin]&gt;=0.05, "Average", "Needs Improvement"))</f>
        <v>Excellent</v>
      </c>
    </row>
    <row r="11" spans="1:20">
      <c r="A11">
        <v>1051</v>
      </c>
      <c r="B11" s="2">
        <v>44930</v>
      </c>
      <c r="C11" t="s">
        <v>14</v>
      </c>
      <c r="D11" t="s">
        <v>15</v>
      </c>
      <c r="E11">
        <v>4979.3599999999997</v>
      </c>
      <c r="F11">
        <v>14</v>
      </c>
      <c r="G11" t="s">
        <v>31</v>
      </c>
      <c r="H11">
        <v>3686.81</v>
      </c>
      <c r="I11">
        <v>3710.92</v>
      </c>
      <c r="J11" t="s">
        <v>22</v>
      </c>
      <c r="K11">
        <v>0.1</v>
      </c>
      <c r="L11" t="s">
        <v>27</v>
      </c>
      <c r="M11" t="s">
        <v>28</v>
      </c>
      <c r="N11" t="s">
        <v>20</v>
      </c>
      <c r="O11" s="6">
        <f>SalesMaster[[#This Row],[Sales_Amount]]*SalesMaster[[#This Row],[Quantity_Sold]]</f>
        <v>69711.039999999994</v>
      </c>
      <c r="P11" s="6">
        <f>SalesMaster[[#This Row],[Quantity_Sold]]*SalesMaster[[#This Row],[Unit_Cost]]</f>
        <v>51615.34</v>
      </c>
      <c r="Q11" s="6">
        <f>SalesMaster[[#This Row],[Total_Sales]]-SalesMaster[[#This Row],[Total_Cost]]</f>
        <v>18095.699999999997</v>
      </c>
      <c r="R11" s="1">
        <f>IFERROR(SalesMaster[Net Profit]/SalesMaster[Total_Sales], 0)</f>
        <v>0.25958155264933647</v>
      </c>
      <c r="S11" t="str">
        <f>TEXT(SalesMaster[[#This Row],[Sale_Date]], "mmm")</f>
        <v>Jan</v>
      </c>
      <c r="T11" s="6" t="str">
        <f>IF(SalesMaster[Profit_Margin]&gt;=0.15, "Excellent", IF(SalesMaster[Profit_Margin]&gt;=0.05, "Average", "Needs Improvement"))</f>
        <v>Excellent</v>
      </c>
    </row>
    <row r="12" spans="1:20">
      <c r="A12">
        <v>1002</v>
      </c>
      <c r="B12" s="2">
        <v>44930</v>
      </c>
      <c r="C12" t="s">
        <v>35</v>
      </c>
      <c r="D12" t="s">
        <v>36</v>
      </c>
      <c r="E12">
        <v>2716.34</v>
      </c>
      <c r="F12">
        <v>17</v>
      </c>
      <c r="G12" t="s">
        <v>26</v>
      </c>
      <c r="H12">
        <v>1727.12</v>
      </c>
      <c r="I12">
        <v>1865.83</v>
      </c>
      <c r="J12" t="s">
        <v>22</v>
      </c>
      <c r="K12">
        <v>0.21</v>
      </c>
      <c r="L12" t="s">
        <v>18</v>
      </c>
      <c r="M12" t="s">
        <v>19</v>
      </c>
      <c r="N12" t="s">
        <v>37</v>
      </c>
      <c r="O12" s="6">
        <f>SalesMaster[[#This Row],[Sales_Amount]]*SalesMaster[[#This Row],[Quantity_Sold]]</f>
        <v>46177.78</v>
      </c>
      <c r="P12" s="6">
        <f>SalesMaster[[#This Row],[Quantity_Sold]]*SalesMaster[[#This Row],[Unit_Cost]]</f>
        <v>29361.039999999997</v>
      </c>
      <c r="Q12" s="6">
        <f>SalesMaster[[#This Row],[Total_Sales]]-SalesMaster[[#This Row],[Total_Cost]]</f>
        <v>16816.740000000002</v>
      </c>
      <c r="R12" s="1">
        <f>IFERROR(SalesMaster[Net Profit]/SalesMaster[Total_Sales], 0)</f>
        <v>0.36417385157969917</v>
      </c>
      <c r="S12" t="str">
        <f>TEXT(SalesMaster[[#This Row],[Sale_Date]], "mmm")</f>
        <v>Jan</v>
      </c>
      <c r="T12" s="6" t="str">
        <f>IF(SalesMaster[Profit_Margin]&gt;=0.15, "Excellent", IF(SalesMaster[Profit_Margin]&gt;=0.05, "Average", "Needs Improvement"))</f>
        <v>Excellent</v>
      </c>
    </row>
    <row r="13" spans="1:20">
      <c r="A13">
        <v>1074</v>
      </c>
      <c r="B13" s="2">
        <v>44930</v>
      </c>
      <c r="C13" t="s">
        <v>14</v>
      </c>
      <c r="D13" t="s">
        <v>25</v>
      </c>
      <c r="E13">
        <v>7508.72</v>
      </c>
      <c r="F13">
        <v>38</v>
      </c>
      <c r="G13" t="s">
        <v>26</v>
      </c>
      <c r="H13">
        <v>1394.74</v>
      </c>
      <c r="I13">
        <v>1848.69</v>
      </c>
      <c r="J13" t="s">
        <v>17</v>
      </c>
      <c r="K13">
        <v>0</v>
      </c>
      <c r="L13" t="s">
        <v>27</v>
      </c>
      <c r="M13" t="s">
        <v>28</v>
      </c>
      <c r="N13" t="s">
        <v>29</v>
      </c>
      <c r="O13" s="6">
        <f>SalesMaster[[#This Row],[Sales_Amount]]*SalesMaster[[#This Row],[Quantity_Sold]]</f>
        <v>285331.36</v>
      </c>
      <c r="P13" s="6">
        <f>SalesMaster[[#This Row],[Quantity_Sold]]*SalesMaster[[#This Row],[Unit_Cost]]</f>
        <v>53000.12</v>
      </c>
      <c r="Q13" s="6">
        <f>SalesMaster[[#This Row],[Total_Sales]]-SalesMaster[[#This Row],[Total_Cost]]</f>
        <v>232331.24</v>
      </c>
      <c r="R13" s="1">
        <f>IFERROR(SalesMaster[Net Profit]/SalesMaster[Total_Sales], 0)</f>
        <v>0.81425063126604802</v>
      </c>
      <c r="S13" t="str">
        <f>TEXT(SalesMaster[[#This Row],[Sale_Date]], "mmm")</f>
        <v>Jan</v>
      </c>
      <c r="T13" s="6" t="str">
        <f>IF(SalesMaster[Profit_Margin]&gt;=0.15, "Excellent", IF(SalesMaster[Profit_Margin]&gt;=0.05, "Average", "Needs Improvement"))</f>
        <v>Excellent</v>
      </c>
    </row>
    <row r="14" spans="1:20">
      <c r="A14">
        <v>1086</v>
      </c>
      <c r="B14" s="2">
        <v>44930</v>
      </c>
      <c r="C14" t="s">
        <v>35</v>
      </c>
      <c r="D14" t="s">
        <v>25</v>
      </c>
      <c r="E14">
        <v>6530.14</v>
      </c>
      <c r="F14">
        <v>8</v>
      </c>
      <c r="G14" t="s">
        <v>26</v>
      </c>
      <c r="H14">
        <v>1569.31</v>
      </c>
      <c r="I14">
        <v>1798.02</v>
      </c>
      <c r="J14" t="s">
        <v>22</v>
      </c>
      <c r="K14">
        <v>7.0000000000000007E-2</v>
      </c>
      <c r="L14" t="s">
        <v>23</v>
      </c>
      <c r="M14" t="s">
        <v>19</v>
      </c>
      <c r="N14" t="s">
        <v>40</v>
      </c>
      <c r="O14" s="6">
        <f>SalesMaster[[#This Row],[Sales_Amount]]*SalesMaster[[#This Row],[Quantity_Sold]]</f>
        <v>52241.120000000003</v>
      </c>
      <c r="P14" s="6">
        <f>SalesMaster[[#This Row],[Quantity_Sold]]*SalesMaster[[#This Row],[Unit_Cost]]</f>
        <v>12554.48</v>
      </c>
      <c r="Q14" s="6">
        <f>SalesMaster[[#This Row],[Total_Sales]]-SalesMaster[[#This Row],[Total_Cost]]</f>
        <v>39686.639999999999</v>
      </c>
      <c r="R14" s="1">
        <f>IFERROR(SalesMaster[Net Profit]/SalesMaster[Total_Sales], 0)</f>
        <v>0.75968202825666831</v>
      </c>
      <c r="S14" t="str">
        <f>TEXT(SalesMaster[[#This Row],[Sale_Date]], "mmm")</f>
        <v>Jan</v>
      </c>
      <c r="T14" s="6" t="str">
        <f>IF(SalesMaster[Profit_Margin]&gt;=0.15, "Excellent", IF(SalesMaster[Profit_Margin]&gt;=0.05, "Average", "Needs Improvement"))</f>
        <v>Excellent</v>
      </c>
    </row>
    <row r="15" spans="1:20">
      <c r="A15">
        <v>1090</v>
      </c>
      <c r="B15" s="2">
        <v>44930</v>
      </c>
      <c r="C15" t="s">
        <v>14</v>
      </c>
      <c r="D15" t="s">
        <v>15</v>
      </c>
      <c r="E15">
        <v>1028.3900000000001</v>
      </c>
      <c r="F15">
        <v>14</v>
      </c>
      <c r="G15" t="s">
        <v>26</v>
      </c>
      <c r="H15">
        <v>4037.21</v>
      </c>
      <c r="I15">
        <v>4323.71</v>
      </c>
      <c r="J15" t="s">
        <v>17</v>
      </c>
      <c r="K15">
        <v>0.27</v>
      </c>
      <c r="L15" t="s">
        <v>23</v>
      </c>
      <c r="M15" t="s">
        <v>19</v>
      </c>
      <c r="N15" t="s">
        <v>20</v>
      </c>
      <c r="O15" s="6">
        <f>SalesMaster[[#This Row],[Sales_Amount]]*SalesMaster[[#This Row],[Quantity_Sold]]</f>
        <v>14397.460000000001</v>
      </c>
      <c r="P15" s="6">
        <f>SalesMaster[[#This Row],[Quantity_Sold]]*SalesMaster[[#This Row],[Unit_Cost]]</f>
        <v>56520.94</v>
      </c>
      <c r="Q15" s="6">
        <f>SalesMaster[[#This Row],[Total_Sales]]-SalesMaster[[#This Row],[Total_Cost]]</f>
        <v>-42123.48</v>
      </c>
      <c r="R15" s="1">
        <f>IFERROR(SalesMaster[Net Profit]/SalesMaster[Total_Sales], 0)</f>
        <v>-2.9257577378231994</v>
      </c>
      <c r="S15" t="str">
        <f>TEXT(SalesMaster[[#This Row],[Sale_Date]], "mmm")</f>
        <v>Jan</v>
      </c>
      <c r="T15" s="6" t="str">
        <f>IF(SalesMaster[Profit_Margin]&gt;=0.15, "Excellent", IF(SalesMaster[Profit_Margin]&gt;=0.05, "Average", "Needs Improvement"))</f>
        <v>Needs Improvement</v>
      </c>
    </row>
    <row r="16" spans="1:20">
      <c r="A16">
        <v>1081</v>
      </c>
      <c r="B16" s="2">
        <v>44931</v>
      </c>
      <c r="C16" t="s">
        <v>35</v>
      </c>
      <c r="D16" t="s">
        <v>25</v>
      </c>
      <c r="E16">
        <v>1429.32</v>
      </c>
      <c r="F16">
        <v>44</v>
      </c>
      <c r="G16" t="s">
        <v>41</v>
      </c>
      <c r="H16">
        <v>618.79</v>
      </c>
      <c r="I16">
        <v>938.04</v>
      </c>
      <c r="J16" t="s">
        <v>17</v>
      </c>
      <c r="K16">
        <v>0.03</v>
      </c>
      <c r="L16" t="s">
        <v>18</v>
      </c>
      <c r="M16" t="s">
        <v>19</v>
      </c>
      <c r="N16" t="s">
        <v>40</v>
      </c>
      <c r="O16" s="6">
        <f>SalesMaster[[#This Row],[Sales_Amount]]*SalesMaster[[#This Row],[Quantity_Sold]]</f>
        <v>62890.079999999994</v>
      </c>
      <c r="P16" s="6">
        <f>SalesMaster[[#This Row],[Quantity_Sold]]*SalesMaster[[#This Row],[Unit_Cost]]</f>
        <v>27226.76</v>
      </c>
      <c r="Q16" s="6">
        <f>SalesMaster[[#This Row],[Total_Sales]]-SalesMaster[[#This Row],[Total_Cost]]</f>
        <v>35663.319999999992</v>
      </c>
      <c r="R16" s="1">
        <f>IFERROR(SalesMaster[Net Profit]/SalesMaster[Total_Sales], 0)</f>
        <v>0.56707385330087023</v>
      </c>
      <c r="S16" t="str">
        <f>TEXT(SalesMaster[[#This Row],[Sale_Date]], "mmm")</f>
        <v>Jan</v>
      </c>
      <c r="T16" s="6" t="str">
        <f>IF(SalesMaster[Profit_Margin]&gt;=0.15, "Excellent", IF(SalesMaster[Profit_Margin]&gt;=0.05, "Average", "Needs Improvement"))</f>
        <v>Excellent</v>
      </c>
    </row>
    <row r="17" spans="1:20">
      <c r="A17">
        <v>1023</v>
      </c>
      <c r="B17" s="2">
        <v>44931</v>
      </c>
      <c r="C17" t="s">
        <v>42</v>
      </c>
      <c r="D17" t="s">
        <v>36</v>
      </c>
      <c r="E17">
        <v>6442.09</v>
      </c>
      <c r="F17">
        <v>2</v>
      </c>
      <c r="G17" t="s">
        <v>16</v>
      </c>
      <c r="H17">
        <v>575.32000000000005</v>
      </c>
      <c r="I17">
        <v>914.77</v>
      </c>
      <c r="J17" t="s">
        <v>17</v>
      </c>
      <c r="K17">
        <v>0.26</v>
      </c>
      <c r="L17" t="s">
        <v>27</v>
      </c>
      <c r="M17" t="s">
        <v>19</v>
      </c>
      <c r="N17" t="s">
        <v>43</v>
      </c>
      <c r="O17" s="6">
        <f>SalesMaster[[#This Row],[Sales_Amount]]*SalesMaster[[#This Row],[Quantity_Sold]]</f>
        <v>12884.18</v>
      </c>
      <c r="P17" s="6">
        <f>SalesMaster[[#This Row],[Quantity_Sold]]*SalesMaster[[#This Row],[Unit_Cost]]</f>
        <v>1150.6400000000001</v>
      </c>
      <c r="Q17" s="6">
        <f>SalesMaster[[#This Row],[Total_Sales]]-SalesMaster[[#This Row],[Total_Cost]]</f>
        <v>11733.54</v>
      </c>
      <c r="R17" s="1">
        <f>IFERROR(SalesMaster[Net Profit]/SalesMaster[Total_Sales], 0)</f>
        <v>0.91069357925766337</v>
      </c>
      <c r="S17" t="str">
        <f>TEXT(SalesMaster[[#This Row],[Sale_Date]], "mmm")</f>
        <v>Jan</v>
      </c>
      <c r="T17" s="6" t="str">
        <f>IF(SalesMaster[Profit_Margin]&gt;=0.15, "Excellent", IF(SalesMaster[Profit_Margin]&gt;=0.05, "Average", "Needs Improvement"))</f>
        <v>Excellent</v>
      </c>
    </row>
    <row r="18" spans="1:20">
      <c r="A18">
        <v>1052</v>
      </c>
      <c r="B18" s="2">
        <v>44931</v>
      </c>
      <c r="C18" t="s">
        <v>35</v>
      </c>
      <c r="D18" t="s">
        <v>15</v>
      </c>
      <c r="E18">
        <v>8837.34</v>
      </c>
      <c r="F18">
        <v>11</v>
      </c>
      <c r="G18" t="s">
        <v>16</v>
      </c>
      <c r="H18">
        <v>3451.59</v>
      </c>
      <c r="I18">
        <v>3929.26</v>
      </c>
      <c r="J18" t="s">
        <v>22</v>
      </c>
      <c r="K18">
        <v>0.3</v>
      </c>
      <c r="L18" t="s">
        <v>23</v>
      </c>
      <c r="M18" t="s">
        <v>28</v>
      </c>
      <c r="N18" t="s">
        <v>44</v>
      </c>
      <c r="O18" s="6">
        <f>SalesMaster[[#This Row],[Sales_Amount]]*SalesMaster[[#This Row],[Quantity_Sold]]</f>
        <v>97210.74</v>
      </c>
      <c r="P18" s="6">
        <f>SalesMaster[[#This Row],[Quantity_Sold]]*SalesMaster[[#This Row],[Unit_Cost]]</f>
        <v>37967.490000000005</v>
      </c>
      <c r="Q18" s="6">
        <f>SalesMaster[[#This Row],[Total_Sales]]-SalesMaster[[#This Row],[Total_Cost]]</f>
        <v>59243.25</v>
      </c>
      <c r="R18" s="1">
        <f>IFERROR(SalesMaster[Net Profit]/SalesMaster[Total_Sales], 0)</f>
        <v>0.60943111841345921</v>
      </c>
      <c r="S18" t="str">
        <f>TEXT(SalesMaster[[#This Row],[Sale_Date]], "mmm")</f>
        <v>Jan</v>
      </c>
      <c r="T18" s="6" t="str">
        <f>IF(SalesMaster[Profit_Margin]&gt;=0.15, "Excellent", IF(SalesMaster[Profit_Margin]&gt;=0.05, "Average", "Needs Improvement"))</f>
        <v>Excellent</v>
      </c>
    </row>
    <row r="19" spans="1:20">
      <c r="A19">
        <v>1087</v>
      </c>
      <c r="B19" s="2">
        <v>44932</v>
      </c>
      <c r="C19" t="s">
        <v>14</v>
      </c>
      <c r="D19" t="s">
        <v>25</v>
      </c>
      <c r="E19">
        <v>7698.92</v>
      </c>
      <c r="F19">
        <v>46</v>
      </c>
      <c r="G19" t="s">
        <v>26</v>
      </c>
      <c r="H19">
        <v>3702.51</v>
      </c>
      <c r="I19">
        <v>3964.65</v>
      </c>
      <c r="J19" t="s">
        <v>22</v>
      </c>
      <c r="K19">
        <v>0.12</v>
      </c>
      <c r="L19" t="s">
        <v>27</v>
      </c>
      <c r="M19" t="s">
        <v>19</v>
      </c>
      <c r="N19" t="s">
        <v>29</v>
      </c>
      <c r="O19" s="6">
        <f>SalesMaster[[#This Row],[Sales_Amount]]*SalesMaster[[#This Row],[Quantity_Sold]]</f>
        <v>354150.32</v>
      </c>
      <c r="P19" s="6">
        <f>SalesMaster[[#This Row],[Quantity_Sold]]*SalesMaster[[#This Row],[Unit_Cost]]</f>
        <v>170315.46000000002</v>
      </c>
      <c r="Q19" s="6">
        <f>SalesMaster[[#This Row],[Total_Sales]]-SalesMaster[[#This Row],[Total_Cost]]</f>
        <v>183834.86</v>
      </c>
      <c r="R19" s="1">
        <f>IFERROR(SalesMaster[Net Profit]/SalesMaster[Total_Sales], 0)</f>
        <v>0.51908709273508491</v>
      </c>
      <c r="S19" t="str">
        <f>TEXT(SalesMaster[[#This Row],[Sale_Date]], "mmm")</f>
        <v>Jan</v>
      </c>
      <c r="T19" s="6" t="str">
        <f>IF(SalesMaster[Profit_Margin]&gt;=0.15, "Excellent", IF(SalesMaster[Profit_Margin]&gt;=0.05, "Average", "Needs Improvement"))</f>
        <v>Excellent</v>
      </c>
    </row>
    <row r="20" spans="1:20">
      <c r="A20">
        <v>1062</v>
      </c>
      <c r="B20" s="2">
        <v>44932</v>
      </c>
      <c r="C20" t="s">
        <v>14</v>
      </c>
      <c r="D20" t="s">
        <v>36</v>
      </c>
      <c r="E20">
        <v>3439.72</v>
      </c>
      <c r="F20">
        <v>15</v>
      </c>
      <c r="G20" t="s">
        <v>16</v>
      </c>
      <c r="H20">
        <v>4756.55</v>
      </c>
      <c r="I20">
        <v>4888.46</v>
      </c>
      <c r="J20" t="s">
        <v>22</v>
      </c>
      <c r="K20">
        <v>0.28999999999999998</v>
      </c>
      <c r="L20" t="s">
        <v>23</v>
      </c>
      <c r="M20" t="s">
        <v>19</v>
      </c>
      <c r="N20" t="s">
        <v>39</v>
      </c>
      <c r="O20" s="6">
        <f>SalesMaster[[#This Row],[Sales_Amount]]*SalesMaster[[#This Row],[Quantity_Sold]]</f>
        <v>51595.799999999996</v>
      </c>
      <c r="P20" s="6">
        <f>SalesMaster[[#This Row],[Quantity_Sold]]*SalesMaster[[#This Row],[Unit_Cost]]</f>
        <v>71348.25</v>
      </c>
      <c r="Q20" s="6">
        <f>SalesMaster[[#This Row],[Total_Sales]]-SalesMaster[[#This Row],[Total_Cost]]</f>
        <v>-19752.450000000004</v>
      </c>
      <c r="R20" s="1">
        <f>IFERROR(SalesMaster[Net Profit]/SalesMaster[Total_Sales], 0)</f>
        <v>-0.38283057923319352</v>
      </c>
      <c r="S20" t="str">
        <f>TEXT(SalesMaster[[#This Row],[Sale_Date]], "mmm")</f>
        <v>Jan</v>
      </c>
      <c r="T20" s="6" t="str">
        <f>IF(SalesMaster[Profit_Margin]&gt;=0.15, "Excellent", IF(SalesMaster[Profit_Margin]&gt;=0.05, "Average", "Needs Improvement"))</f>
        <v>Needs Improvement</v>
      </c>
    </row>
    <row r="21" spans="1:20">
      <c r="A21">
        <v>1021</v>
      </c>
      <c r="B21" s="2">
        <v>44933</v>
      </c>
      <c r="C21" t="s">
        <v>35</v>
      </c>
      <c r="D21" t="s">
        <v>15</v>
      </c>
      <c r="E21">
        <v>2971.45</v>
      </c>
      <c r="F21">
        <v>9</v>
      </c>
      <c r="G21" t="s">
        <v>26</v>
      </c>
      <c r="H21">
        <v>3365.28</v>
      </c>
      <c r="I21">
        <v>3730.43</v>
      </c>
      <c r="J21" t="s">
        <v>22</v>
      </c>
      <c r="K21">
        <v>0.17</v>
      </c>
      <c r="L21" t="s">
        <v>27</v>
      </c>
      <c r="M21" t="s">
        <v>19</v>
      </c>
      <c r="N21" t="s">
        <v>44</v>
      </c>
      <c r="O21" s="6">
        <f>SalesMaster[[#This Row],[Sales_Amount]]*SalesMaster[[#This Row],[Quantity_Sold]]</f>
        <v>26743.05</v>
      </c>
      <c r="P21" s="6">
        <f>SalesMaster[[#This Row],[Quantity_Sold]]*SalesMaster[[#This Row],[Unit_Cost]]</f>
        <v>30287.52</v>
      </c>
      <c r="Q21" s="6">
        <f>SalesMaster[[#This Row],[Total_Sales]]-SalesMaster[[#This Row],[Total_Cost]]</f>
        <v>-3544.4700000000012</v>
      </c>
      <c r="R21" s="1">
        <f>IFERROR(SalesMaster[Net Profit]/SalesMaster[Total_Sales], 0)</f>
        <v>-0.13253798650490506</v>
      </c>
      <c r="S21" t="str">
        <f>TEXT(SalesMaster[[#This Row],[Sale_Date]], "mmm")</f>
        <v>Jan</v>
      </c>
      <c r="T21" s="6" t="str">
        <f>IF(SalesMaster[Profit_Margin]&gt;=0.15, "Excellent", IF(SalesMaster[Profit_Margin]&gt;=0.05, "Average", "Needs Improvement"))</f>
        <v>Needs Improvement</v>
      </c>
    </row>
    <row r="22" spans="1:20">
      <c r="A22">
        <v>1069</v>
      </c>
      <c r="B22" s="2">
        <v>44933</v>
      </c>
      <c r="C22" t="s">
        <v>42</v>
      </c>
      <c r="D22" t="s">
        <v>36</v>
      </c>
      <c r="E22">
        <v>2574.5700000000002</v>
      </c>
      <c r="F22">
        <v>6</v>
      </c>
      <c r="G22" t="s">
        <v>41</v>
      </c>
      <c r="H22">
        <v>1768.6</v>
      </c>
      <c r="I22">
        <v>2152.1999999999998</v>
      </c>
      <c r="J22" t="s">
        <v>22</v>
      </c>
      <c r="K22">
        <v>0.25</v>
      </c>
      <c r="L22" t="s">
        <v>27</v>
      </c>
      <c r="M22" t="s">
        <v>28</v>
      </c>
      <c r="N22" t="s">
        <v>43</v>
      </c>
      <c r="O22" s="6">
        <f>SalesMaster[[#This Row],[Sales_Amount]]*SalesMaster[[#This Row],[Quantity_Sold]]</f>
        <v>15447.420000000002</v>
      </c>
      <c r="P22" s="6">
        <f>SalesMaster[[#This Row],[Quantity_Sold]]*SalesMaster[[#This Row],[Unit_Cost]]</f>
        <v>10611.599999999999</v>
      </c>
      <c r="Q22" s="6">
        <f>SalesMaster[[#This Row],[Total_Sales]]-SalesMaster[[#This Row],[Total_Cost]]</f>
        <v>4835.8200000000033</v>
      </c>
      <c r="R22" s="1">
        <f>IFERROR(SalesMaster[Net Profit]/SalesMaster[Total_Sales], 0)</f>
        <v>0.31305033461898507</v>
      </c>
      <c r="S22" t="str">
        <f>TEXT(SalesMaster[[#This Row],[Sale_Date]], "mmm")</f>
        <v>Jan</v>
      </c>
      <c r="T22" s="6" t="str">
        <f>IF(SalesMaster[Profit_Margin]&gt;=0.15, "Excellent", IF(SalesMaster[Profit_Margin]&gt;=0.05, "Average", "Needs Improvement"))</f>
        <v>Excellent</v>
      </c>
    </row>
    <row r="23" spans="1:20">
      <c r="A23">
        <v>1085</v>
      </c>
      <c r="B23" s="2">
        <v>44933</v>
      </c>
      <c r="C23" t="s">
        <v>14</v>
      </c>
      <c r="D23" t="s">
        <v>33</v>
      </c>
      <c r="E23">
        <v>2719.89</v>
      </c>
      <c r="F23">
        <v>16</v>
      </c>
      <c r="G23" t="s">
        <v>41</v>
      </c>
      <c r="H23">
        <v>472.08</v>
      </c>
      <c r="I23">
        <v>842.46</v>
      </c>
      <c r="J23" t="s">
        <v>22</v>
      </c>
      <c r="K23">
        <v>0</v>
      </c>
      <c r="L23" t="s">
        <v>18</v>
      </c>
      <c r="M23" t="s">
        <v>28</v>
      </c>
      <c r="N23" t="s">
        <v>45</v>
      </c>
      <c r="O23" s="6">
        <f>SalesMaster[[#This Row],[Sales_Amount]]*SalesMaster[[#This Row],[Quantity_Sold]]</f>
        <v>43518.239999999998</v>
      </c>
      <c r="P23" s="6">
        <f>SalesMaster[[#This Row],[Quantity_Sold]]*SalesMaster[[#This Row],[Unit_Cost]]</f>
        <v>7553.28</v>
      </c>
      <c r="Q23" s="6">
        <f>SalesMaster[[#This Row],[Total_Sales]]-SalesMaster[[#This Row],[Total_Cost]]</f>
        <v>35964.959999999999</v>
      </c>
      <c r="R23" s="1">
        <f>IFERROR(SalesMaster[Net Profit]/SalesMaster[Total_Sales], 0)</f>
        <v>0.82643415726371294</v>
      </c>
      <c r="S23" t="str">
        <f>TEXT(SalesMaster[[#This Row],[Sale_Date]], "mmm")</f>
        <v>Jan</v>
      </c>
      <c r="T23" s="6" t="str">
        <f>IF(SalesMaster[Profit_Margin]&gt;=0.15, "Excellent", IF(SalesMaster[Profit_Margin]&gt;=0.05, "Average", "Needs Improvement"))</f>
        <v>Excellent</v>
      </c>
    </row>
    <row r="24" spans="1:20">
      <c r="A24">
        <v>1065</v>
      </c>
      <c r="B24" s="2">
        <v>44933</v>
      </c>
      <c r="C24" t="s">
        <v>14</v>
      </c>
      <c r="D24" t="s">
        <v>15</v>
      </c>
      <c r="E24">
        <v>2365.87</v>
      </c>
      <c r="F24">
        <v>6</v>
      </c>
      <c r="G24" t="s">
        <v>16</v>
      </c>
      <c r="H24">
        <v>2019.9</v>
      </c>
      <c r="I24">
        <v>2116.7399999999998</v>
      </c>
      <c r="J24" t="s">
        <v>22</v>
      </c>
      <c r="K24">
        <v>0.11</v>
      </c>
      <c r="L24" t="s">
        <v>23</v>
      </c>
      <c r="M24" t="s">
        <v>19</v>
      </c>
      <c r="N24" t="s">
        <v>20</v>
      </c>
      <c r="O24" s="6">
        <f>SalesMaster[[#This Row],[Sales_Amount]]*SalesMaster[[#This Row],[Quantity_Sold]]</f>
        <v>14195.22</v>
      </c>
      <c r="P24" s="6">
        <f>SalesMaster[[#This Row],[Quantity_Sold]]*SalesMaster[[#This Row],[Unit_Cost]]</f>
        <v>12119.400000000001</v>
      </c>
      <c r="Q24" s="6">
        <f>SalesMaster[[#This Row],[Total_Sales]]-SalesMaster[[#This Row],[Total_Cost]]</f>
        <v>2075.8199999999979</v>
      </c>
      <c r="R24" s="1">
        <f>IFERROR(SalesMaster[Net Profit]/SalesMaster[Total_Sales], 0)</f>
        <v>0.14623373219999394</v>
      </c>
      <c r="S24" t="str">
        <f>TEXT(SalesMaster[[#This Row],[Sale_Date]], "mmm")</f>
        <v>Jan</v>
      </c>
      <c r="T24" s="6" t="str">
        <f>IF(SalesMaster[Profit_Margin]&gt;=0.15, "Excellent", IF(SalesMaster[Profit_Margin]&gt;=0.05, "Average", "Needs Improvement"))</f>
        <v>Average</v>
      </c>
    </row>
    <row r="25" spans="1:20">
      <c r="A25">
        <v>1034</v>
      </c>
      <c r="B25" s="2">
        <v>44933</v>
      </c>
      <c r="C25" t="s">
        <v>30</v>
      </c>
      <c r="D25" t="s">
        <v>33</v>
      </c>
      <c r="E25">
        <v>3677.9</v>
      </c>
      <c r="F25">
        <v>28</v>
      </c>
      <c r="G25" t="s">
        <v>26</v>
      </c>
      <c r="H25">
        <v>137.47</v>
      </c>
      <c r="I25">
        <v>234.63</v>
      </c>
      <c r="J25" t="s">
        <v>22</v>
      </c>
      <c r="K25">
        <v>0.27</v>
      </c>
      <c r="L25" t="s">
        <v>27</v>
      </c>
      <c r="M25" t="s">
        <v>28</v>
      </c>
      <c r="N25" t="s">
        <v>34</v>
      </c>
      <c r="O25" s="6">
        <f>SalesMaster[[#This Row],[Sales_Amount]]*SalesMaster[[#This Row],[Quantity_Sold]]</f>
        <v>102981.2</v>
      </c>
      <c r="P25" s="6">
        <f>SalesMaster[[#This Row],[Quantity_Sold]]*SalesMaster[[#This Row],[Unit_Cost]]</f>
        <v>3849.16</v>
      </c>
      <c r="Q25" s="6">
        <f>SalesMaster[[#This Row],[Total_Sales]]-SalesMaster[[#This Row],[Total_Cost]]</f>
        <v>99132.04</v>
      </c>
      <c r="R25" s="1">
        <f>IFERROR(SalesMaster[Net Profit]/SalesMaster[Total_Sales], 0)</f>
        <v>0.96262269229723485</v>
      </c>
      <c r="S25" t="str">
        <f>TEXT(SalesMaster[[#This Row],[Sale_Date]], "mmm")</f>
        <v>Jan</v>
      </c>
      <c r="T25" s="6" t="str">
        <f>IF(SalesMaster[Profit_Margin]&gt;=0.15, "Excellent", IF(SalesMaster[Profit_Margin]&gt;=0.05, "Average", "Needs Improvement"))</f>
        <v>Excellent</v>
      </c>
    </row>
    <row r="26" spans="1:20">
      <c r="A26">
        <v>1041</v>
      </c>
      <c r="B26" s="2">
        <v>44934</v>
      </c>
      <c r="C26" t="s">
        <v>30</v>
      </c>
      <c r="D26" t="s">
        <v>36</v>
      </c>
      <c r="E26">
        <v>1714.05</v>
      </c>
      <c r="F26">
        <v>36</v>
      </c>
      <c r="G26" t="s">
        <v>41</v>
      </c>
      <c r="H26">
        <v>864.77</v>
      </c>
      <c r="I26">
        <v>1170.1599999999901</v>
      </c>
      <c r="J26" t="s">
        <v>17</v>
      </c>
      <c r="K26">
        <v>0.11</v>
      </c>
      <c r="L26" t="s">
        <v>18</v>
      </c>
      <c r="M26" t="s">
        <v>28</v>
      </c>
      <c r="N26" t="s">
        <v>46</v>
      </c>
      <c r="O26" s="6">
        <f>SalesMaster[[#This Row],[Sales_Amount]]*SalesMaster[[#This Row],[Quantity_Sold]]</f>
        <v>61705.799999999996</v>
      </c>
      <c r="P26" s="6">
        <f>SalesMaster[[#This Row],[Quantity_Sold]]*SalesMaster[[#This Row],[Unit_Cost]]</f>
        <v>31131.72</v>
      </c>
      <c r="Q26" s="6">
        <f>SalesMaster[[#This Row],[Total_Sales]]-SalesMaster[[#This Row],[Total_Cost]]</f>
        <v>30574.079999999994</v>
      </c>
      <c r="R26" s="1">
        <f>IFERROR(SalesMaster[Net Profit]/SalesMaster[Total_Sales], 0)</f>
        <v>0.495481462034363</v>
      </c>
      <c r="S26" t="str">
        <f>TEXT(SalesMaster[[#This Row],[Sale_Date]], "mmm")</f>
        <v>Jan</v>
      </c>
      <c r="T26" s="6" t="str">
        <f>IF(SalesMaster[Profit_Margin]&gt;=0.15, "Excellent", IF(SalesMaster[Profit_Margin]&gt;=0.05, "Average", "Needs Improvement"))</f>
        <v>Excellent</v>
      </c>
    </row>
    <row r="27" spans="1:20">
      <c r="A27">
        <v>1039</v>
      </c>
      <c r="B27" s="2">
        <v>44934</v>
      </c>
      <c r="C27" t="s">
        <v>14</v>
      </c>
      <c r="D27" t="s">
        <v>25</v>
      </c>
      <c r="E27">
        <v>3613.75</v>
      </c>
      <c r="F27">
        <v>4</v>
      </c>
      <c r="G27" t="s">
        <v>31</v>
      </c>
      <c r="H27">
        <v>1054.1199999999999</v>
      </c>
      <c r="I27">
        <v>1175.21999999999</v>
      </c>
      <c r="J27" t="s">
        <v>17</v>
      </c>
      <c r="K27">
        <v>0.12</v>
      </c>
      <c r="L27" t="s">
        <v>27</v>
      </c>
      <c r="M27" t="s">
        <v>28</v>
      </c>
      <c r="N27" t="s">
        <v>29</v>
      </c>
      <c r="O27" s="6">
        <f>SalesMaster[[#This Row],[Sales_Amount]]*SalesMaster[[#This Row],[Quantity_Sold]]</f>
        <v>14455</v>
      </c>
      <c r="P27" s="6">
        <f>SalesMaster[[#This Row],[Quantity_Sold]]*SalesMaster[[#This Row],[Unit_Cost]]</f>
        <v>4216.4799999999996</v>
      </c>
      <c r="Q27" s="6">
        <f>SalesMaster[[#This Row],[Total_Sales]]-SalesMaster[[#This Row],[Total_Cost]]</f>
        <v>10238.52</v>
      </c>
      <c r="R27" s="1">
        <f>IFERROR(SalesMaster[Net Profit]/SalesMaster[Total_Sales], 0)</f>
        <v>0.70830300933932899</v>
      </c>
      <c r="S27" t="str">
        <f>TEXT(SalesMaster[[#This Row],[Sale_Date]], "mmm")</f>
        <v>Jan</v>
      </c>
      <c r="T27" s="6" t="str">
        <f>IF(SalesMaster[Profit_Margin]&gt;=0.15, "Excellent", IF(SalesMaster[Profit_Margin]&gt;=0.05, "Average", "Needs Improvement"))</f>
        <v>Excellent</v>
      </c>
    </row>
    <row r="28" spans="1:20">
      <c r="A28">
        <v>1067</v>
      </c>
      <c r="B28" s="2">
        <v>44935</v>
      </c>
      <c r="C28" t="s">
        <v>21</v>
      </c>
      <c r="D28" t="s">
        <v>15</v>
      </c>
      <c r="E28">
        <v>1875.71</v>
      </c>
      <c r="F28">
        <v>48</v>
      </c>
      <c r="G28" t="s">
        <v>31</v>
      </c>
      <c r="H28">
        <v>210.63</v>
      </c>
      <c r="I28">
        <v>533.57999999999902</v>
      </c>
      <c r="J28" t="s">
        <v>22</v>
      </c>
      <c r="K28">
        <v>0.04</v>
      </c>
      <c r="L28" t="s">
        <v>27</v>
      </c>
      <c r="M28" t="s">
        <v>19</v>
      </c>
      <c r="N28" t="s">
        <v>24</v>
      </c>
      <c r="O28" s="6">
        <f>SalesMaster[[#This Row],[Sales_Amount]]*SalesMaster[[#This Row],[Quantity_Sold]]</f>
        <v>90034.08</v>
      </c>
      <c r="P28" s="6">
        <f>SalesMaster[[#This Row],[Quantity_Sold]]*SalesMaster[[#This Row],[Unit_Cost]]</f>
        <v>10110.24</v>
      </c>
      <c r="Q28" s="6">
        <f>SalesMaster[[#This Row],[Total_Sales]]-SalesMaster[[#This Row],[Total_Cost]]</f>
        <v>79923.839999999997</v>
      </c>
      <c r="R28" s="1">
        <f>IFERROR(SalesMaster[Net Profit]/SalesMaster[Total_Sales], 0)</f>
        <v>0.88770652179707943</v>
      </c>
      <c r="S28" t="str">
        <f>TEXT(SalesMaster[[#This Row],[Sale_Date]], "mmm")</f>
        <v>Jan</v>
      </c>
      <c r="T28" s="6" t="str">
        <f>IF(SalesMaster[Profit_Margin]&gt;=0.15, "Excellent", IF(SalesMaster[Profit_Margin]&gt;=0.05, "Average", "Needs Improvement"))</f>
        <v>Excellent</v>
      </c>
    </row>
    <row r="29" spans="1:20">
      <c r="A29">
        <v>1057</v>
      </c>
      <c r="B29" s="2">
        <v>44935</v>
      </c>
      <c r="C29" t="s">
        <v>21</v>
      </c>
      <c r="D29" t="s">
        <v>15</v>
      </c>
      <c r="E29">
        <v>2114.38</v>
      </c>
      <c r="F29">
        <v>12</v>
      </c>
      <c r="G29" t="s">
        <v>26</v>
      </c>
      <c r="H29">
        <v>639.16</v>
      </c>
      <c r="I29">
        <v>746.28</v>
      </c>
      <c r="J29" t="s">
        <v>17</v>
      </c>
      <c r="K29">
        <v>0.04</v>
      </c>
      <c r="L29" t="s">
        <v>27</v>
      </c>
      <c r="M29" t="s">
        <v>28</v>
      </c>
      <c r="N29" t="s">
        <v>24</v>
      </c>
      <c r="O29" s="6">
        <f>SalesMaster[[#This Row],[Sales_Amount]]*SalesMaster[[#This Row],[Quantity_Sold]]</f>
        <v>25372.560000000001</v>
      </c>
      <c r="P29" s="6">
        <f>SalesMaster[[#This Row],[Quantity_Sold]]*SalesMaster[[#This Row],[Unit_Cost]]</f>
        <v>7669.92</v>
      </c>
      <c r="Q29" s="6">
        <f>SalesMaster[[#This Row],[Total_Sales]]-SalesMaster[[#This Row],[Total_Cost]]</f>
        <v>17702.64</v>
      </c>
      <c r="R29" s="1">
        <f>IFERROR(SalesMaster[Net Profit]/SalesMaster[Total_Sales], 0)</f>
        <v>0.6977080751804311</v>
      </c>
      <c r="S29" t="str">
        <f>TEXT(SalesMaster[[#This Row],[Sale_Date]], "mmm")</f>
        <v>Jan</v>
      </c>
      <c r="T29" s="6" t="str">
        <f>IF(SalesMaster[Profit_Margin]&gt;=0.15, "Excellent", IF(SalesMaster[Profit_Margin]&gt;=0.05, "Average", "Needs Improvement"))</f>
        <v>Excellent</v>
      </c>
    </row>
    <row r="30" spans="1:20">
      <c r="A30">
        <v>1037</v>
      </c>
      <c r="B30" s="2">
        <v>44935</v>
      </c>
      <c r="C30" t="s">
        <v>21</v>
      </c>
      <c r="D30" t="s">
        <v>15</v>
      </c>
      <c r="E30">
        <v>7750.81</v>
      </c>
      <c r="F30">
        <v>41</v>
      </c>
      <c r="G30" t="s">
        <v>16</v>
      </c>
      <c r="H30">
        <v>4965.07</v>
      </c>
      <c r="I30">
        <v>5243.13</v>
      </c>
      <c r="J30" t="s">
        <v>22</v>
      </c>
      <c r="K30">
        <v>0.01</v>
      </c>
      <c r="L30" t="s">
        <v>23</v>
      </c>
      <c r="M30" t="s">
        <v>19</v>
      </c>
      <c r="N30" t="s">
        <v>24</v>
      </c>
      <c r="O30" s="6">
        <f>SalesMaster[[#This Row],[Sales_Amount]]*SalesMaster[[#This Row],[Quantity_Sold]]</f>
        <v>317783.21000000002</v>
      </c>
      <c r="P30" s="6">
        <f>SalesMaster[[#This Row],[Quantity_Sold]]*SalesMaster[[#This Row],[Unit_Cost]]</f>
        <v>203567.87</v>
      </c>
      <c r="Q30" s="6">
        <f>SalesMaster[[#This Row],[Total_Sales]]-SalesMaster[[#This Row],[Total_Cost]]</f>
        <v>114215.34000000003</v>
      </c>
      <c r="R30" s="1">
        <f>IFERROR(SalesMaster[Net Profit]/SalesMaster[Total_Sales], 0)</f>
        <v>0.35941275815043855</v>
      </c>
      <c r="S30" t="str">
        <f>TEXT(SalesMaster[[#This Row],[Sale_Date]], "mmm")</f>
        <v>Jan</v>
      </c>
      <c r="T30" s="6" t="str">
        <f>IF(SalesMaster[Profit_Margin]&gt;=0.15, "Excellent", IF(SalesMaster[Profit_Margin]&gt;=0.05, "Average", "Needs Improvement"))</f>
        <v>Excellent</v>
      </c>
    </row>
    <row r="31" spans="1:20">
      <c r="A31">
        <v>1066</v>
      </c>
      <c r="B31" s="2">
        <v>44935</v>
      </c>
      <c r="C31" t="s">
        <v>42</v>
      </c>
      <c r="D31" t="s">
        <v>15</v>
      </c>
      <c r="E31">
        <v>6264.04</v>
      </c>
      <c r="F31">
        <v>48</v>
      </c>
      <c r="G31" t="s">
        <v>16</v>
      </c>
      <c r="H31">
        <v>2588.54</v>
      </c>
      <c r="I31">
        <v>2872.8</v>
      </c>
      <c r="J31" t="s">
        <v>22</v>
      </c>
      <c r="K31">
        <v>0.17</v>
      </c>
      <c r="L31" t="s">
        <v>18</v>
      </c>
      <c r="M31" t="s">
        <v>19</v>
      </c>
      <c r="N31" t="s">
        <v>47</v>
      </c>
      <c r="O31" s="6">
        <f>SalesMaster[[#This Row],[Sales_Amount]]*SalesMaster[[#This Row],[Quantity_Sold]]</f>
        <v>300673.91999999998</v>
      </c>
      <c r="P31" s="6">
        <f>SalesMaster[[#This Row],[Quantity_Sold]]*SalesMaster[[#This Row],[Unit_Cost]]</f>
        <v>124249.92</v>
      </c>
      <c r="Q31" s="6">
        <f>SalesMaster[[#This Row],[Total_Sales]]-SalesMaster[[#This Row],[Total_Cost]]</f>
        <v>176424</v>
      </c>
      <c r="R31" s="1">
        <f>IFERROR(SalesMaster[Net Profit]/SalesMaster[Total_Sales], 0)</f>
        <v>0.58676189807217072</v>
      </c>
      <c r="S31" t="str">
        <f>TEXT(SalesMaster[[#This Row],[Sale_Date]], "mmm")</f>
        <v>Jan</v>
      </c>
      <c r="T31" s="6" t="str">
        <f>IF(SalesMaster[Profit_Margin]&gt;=0.15, "Excellent", IF(SalesMaster[Profit_Margin]&gt;=0.05, "Average", "Needs Improvement"))</f>
        <v>Excellent</v>
      </c>
    </row>
    <row r="32" spans="1:20">
      <c r="A32">
        <v>1051</v>
      </c>
      <c r="B32" s="2">
        <v>44935</v>
      </c>
      <c r="C32" t="s">
        <v>30</v>
      </c>
      <c r="D32" t="s">
        <v>25</v>
      </c>
      <c r="E32">
        <v>5785.45</v>
      </c>
      <c r="F32">
        <v>23</v>
      </c>
      <c r="G32" t="s">
        <v>26</v>
      </c>
      <c r="H32">
        <v>2598.1799999999998</v>
      </c>
      <c r="I32">
        <v>3042.73</v>
      </c>
      <c r="J32" t="s">
        <v>17</v>
      </c>
      <c r="K32">
        <v>0.24</v>
      </c>
      <c r="L32" t="s">
        <v>23</v>
      </c>
      <c r="M32" t="s">
        <v>19</v>
      </c>
      <c r="N32" t="s">
        <v>32</v>
      </c>
      <c r="O32" s="6">
        <f>SalesMaster[[#This Row],[Sales_Amount]]*SalesMaster[[#This Row],[Quantity_Sold]]</f>
        <v>133065.35</v>
      </c>
      <c r="P32" s="6">
        <f>SalesMaster[[#This Row],[Quantity_Sold]]*SalesMaster[[#This Row],[Unit_Cost]]</f>
        <v>59758.14</v>
      </c>
      <c r="Q32" s="6">
        <f>SalesMaster[[#This Row],[Total_Sales]]-SalesMaster[[#This Row],[Total_Cost]]</f>
        <v>73307.210000000006</v>
      </c>
      <c r="R32" s="1">
        <f>IFERROR(SalesMaster[Net Profit]/SalesMaster[Total_Sales], 0)</f>
        <v>0.55091133792531266</v>
      </c>
      <c r="S32" t="str">
        <f>TEXT(SalesMaster[[#This Row],[Sale_Date]], "mmm")</f>
        <v>Jan</v>
      </c>
      <c r="T32" s="6" t="str">
        <f>IF(SalesMaster[Profit_Margin]&gt;=0.15, "Excellent", IF(SalesMaster[Profit_Margin]&gt;=0.05, "Average", "Needs Improvement"))</f>
        <v>Excellent</v>
      </c>
    </row>
    <row r="33" spans="1:20">
      <c r="A33">
        <v>1054</v>
      </c>
      <c r="B33" s="2">
        <v>44936</v>
      </c>
      <c r="C33" t="s">
        <v>14</v>
      </c>
      <c r="D33" t="s">
        <v>25</v>
      </c>
      <c r="E33">
        <v>4634.16</v>
      </c>
      <c r="F33">
        <v>40</v>
      </c>
      <c r="G33" t="s">
        <v>26</v>
      </c>
      <c r="H33">
        <v>2654.11</v>
      </c>
      <c r="I33">
        <v>2929.32</v>
      </c>
      <c r="J33" t="s">
        <v>17</v>
      </c>
      <c r="K33">
        <v>0.08</v>
      </c>
      <c r="L33" t="s">
        <v>18</v>
      </c>
      <c r="M33" t="s">
        <v>19</v>
      </c>
      <c r="N33" t="s">
        <v>29</v>
      </c>
      <c r="O33" s="6">
        <f>SalesMaster[[#This Row],[Sales_Amount]]*SalesMaster[[#This Row],[Quantity_Sold]]</f>
        <v>185366.39999999999</v>
      </c>
      <c r="P33" s="6">
        <f>SalesMaster[[#This Row],[Quantity_Sold]]*SalesMaster[[#This Row],[Unit_Cost]]</f>
        <v>106164.40000000001</v>
      </c>
      <c r="Q33" s="6">
        <f>SalesMaster[[#This Row],[Total_Sales]]-SalesMaster[[#This Row],[Total_Cost]]</f>
        <v>79201.999999999985</v>
      </c>
      <c r="R33" s="1">
        <f>IFERROR(SalesMaster[Net Profit]/SalesMaster[Total_Sales], 0)</f>
        <v>0.42727268803839308</v>
      </c>
      <c r="S33" t="str">
        <f>TEXT(SalesMaster[[#This Row],[Sale_Date]], "mmm")</f>
        <v>Jan</v>
      </c>
      <c r="T33" s="6" t="str">
        <f>IF(SalesMaster[Profit_Margin]&gt;=0.15, "Excellent", IF(SalesMaster[Profit_Margin]&gt;=0.05, "Average", "Needs Improvement"))</f>
        <v>Excellent</v>
      </c>
    </row>
    <row r="34" spans="1:20">
      <c r="A34">
        <v>1094</v>
      </c>
      <c r="B34" s="2">
        <v>44936</v>
      </c>
      <c r="C34" t="s">
        <v>14</v>
      </c>
      <c r="D34" t="s">
        <v>15</v>
      </c>
      <c r="E34">
        <v>2548.67</v>
      </c>
      <c r="F34">
        <v>25</v>
      </c>
      <c r="G34" t="s">
        <v>31</v>
      </c>
      <c r="H34">
        <v>1933.39</v>
      </c>
      <c r="I34">
        <v>1982.92</v>
      </c>
      <c r="J34" t="s">
        <v>22</v>
      </c>
      <c r="K34">
        <v>0.17</v>
      </c>
      <c r="L34" t="s">
        <v>27</v>
      </c>
      <c r="M34" t="s">
        <v>19</v>
      </c>
      <c r="N34" t="s">
        <v>20</v>
      </c>
      <c r="O34" s="6">
        <f>SalesMaster[[#This Row],[Sales_Amount]]*SalesMaster[[#This Row],[Quantity_Sold]]</f>
        <v>63716.75</v>
      </c>
      <c r="P34" s="6">
        <f>SalesMaster[[#This Row],[Quantity_Sold]]*SalesMaster[[#This Row],[Unit_Cost]]</f>
        <v>48334.75</v>
      </c>
      <c r="Q34" s="6">
        <f>SalesMaster[[#This Row],[Total_Sales]]-SalesMaster[[#This Row],[Total_Cost]]</f>
        <v>15382</v>
      </c>
      <c r="R34" s="1">
        <f>IFERROR(SalesMaster[Net Profit]/SalesMaster[Total_Sales], 0)</f>
        <v>0.2414121875331055</v>
      </c>
      <c r="S34" t="str">
        <f>TEXT(SalesMaster[[#This Row],[Sale_Date]], "mmm")</f>
        <v>Jan</v>
      </c>
      <c r="T34" s="6" t="str">
        <f>IF(SalesMaster[Profit_Margin]&gt;=0.15, "Excellent", IF(SalesMaster[Profit_Margin]&gt;=0.05, "Average", "Needs Improvement"))</f>
        <v>Excellent</v>
      </c>
    </row>
    <row r="35" spans="1:20">
      <c r="A35">
        <v>1077</v>
      </c>
      <c r="B35" s="2">
        <v>44937</v>
      </c>
      <c r="C35" t="s">
        <v>14</v>
      </c>
      <c r="D35" t="s">
        <v>15</v>
      </c>
      <c r="E35">
        <v>9192.42</v>
      </c>
      <c r="F35">
        <v>35</v>
      </c>
      <c r="G35" t="s">
        <v>31</v>
      </c>
      <c r="H35">
        <v>585.37</v>
      </c>
      <c r="I35">
        <v>970.49</v>
      </c>
      <c r="J35" t="s">
        <v>17</v>
      </c>
      <c r="K35">
        <v>0.15</v>
      </c>
      <c r="L35" t="s">
        <v>27</v>
      </c>
      <c r="M35" t="s">
        <v>28</v>
      </c>
      <c r="N35" t="s">
        <v>20</v>
      </c>
      <c r="O35" s="6">
        <f>SalesMaster[[#This Row],[Sales_Amount]]*SalesMaster[[#This Row],[Quantity_Sold]]</f>
        <v>321734.7</v>
      </c>
      <c r="P35" s="6">
        <f>SalesMaster[[#This Row],[Quantity_Sold]]*SalesMaster[[#This Row],[Unit_Cost]]</f>
        <v>20487.95</v>
      </c>
      <c r="Q35" s="6">
        <f>SalesMaster[[#This Row],[Total_Sales]]-SalesMaster[[#This Row],[Total_Cost]]</f>
        <v>301246.75</v>
      </c>
      <c r="R35" s="1">
        <f>IFERROR(SalesMaster[Net Profit]/SalesMaster[Total_Sales], 0)</f>
        <v>0.93632035960062743</v>
      </c>
      <c r="S35" t="str">
        <f>TEXT(SalesMaster[[#This Row],[Sale_Date]], "mmm")</f>
        <v>Jan</v>
      </c>
      <c r="T35" s="6" t="str">
        <f>IF(SalesMaster[Profit_Margin]&gt;=0.15, "Excellent", IF(SalesMaster[Profit_Margin]&gt;=0.05, "Average", "Needs Improvement"))</f>
        <v>Excellent</v>
      </c>
    </row>
    <row r="36" spans="1:20">
      <c r="A36">
        <v>1044</v>
      </c>
      <c r="B36" s="2">
        <v>44937</v>
      </c>
      <c r="C36" t="s">
        <v>14</v>
      </c>
      <c r="D36" t="s">
        <v>15</v>
      </c>
      <c r="E36">
        <v>3594.29</v>
      </c>
      <c r="F36">
        <v>5</v>
      </c>
      <c r="G36" t="s">
        <v>41</v>
      </c>
      <c r="H36">
        <v>4762.87</v>
      </c>
      <c r="I36">
        <v>5050.46</v>
      </c>
      <c r="J36" t="s">
        <v>22</v>
      </c>
      <c r="K36">
        <v>0.25</v>
      </c>
      <c r="L36" t="s">
        <v>18</v>
      </c>
      <c r="M36" t="s">
        <v>28</v>
      </c>
      <c r="N36" t="s">
        <v>20</v>
      </c>
      <c r="O36" s="6">
        <f>SalesMaster[[#This Row],[Sales_Amount]]*SalesMaster[[#This Row],[Quantity_Sold]]</f>
        <v>17971.45</v>
      </c>
      <c r="P36" s="6">
        <f>SalesMaster[[#This Row],[Quantity_Sold]]*SalesMaster[[#This Row],[Unit_Cost]]</f>
        <v>23814.35</v>
      </c>
      <c r="Q36" s="6">
        <f>SalesMaster[[#This Row],[Total_Sales]]-SalesMaster[[#This Row],[Total_Cost]]</f>
        <v>-5842.8999999999978</v>
      </c>
      <c r="R36" s="1">
        <f>IFERROR(SalesMaster[Net Profit]/SalesMaster[Total_Sales], 0)</f>
        <v>-0.32512123395719306</v>
      </c>
      <c r="S36" t="str">
        <f>TEXT(SalesMaster[[#This Row],[Sale_Date]], "mmm")</f>
        <v>Jan</v>
      </c>
      <c r="T36" s="6" t="str">
        <f>IF(SalesMaster[Profit_Margin]&gt;=0.15, "Excellent", IF(SalesMaster[Profit_Margin]&gt;=0.05, "Average", "Needs Improvement"))</f>
        <v>Needs Improvement</v>
      </c>
    </row>
    <row r="37" spans="1:20">
      <c r="A37">
        <v>1060</v>
      </c>
      <c r="B37" s="2">
        <v>44937</v>
      </c>
      <c r="C37" t="s">
        <v>21</v>
      </c>
      <c r="D37" t="s">
        <v>33</v>
      </c>
      <c r="E37">
        <v>1016.99</v>
      </c>
      <c r="F37">
        <v>34</v>
      </c>
      <c r="G37" t="s">
        <v>31</v>
      </c>
      <c r="H37">
        <v>4984.21</v>
      </c>
      <c r="I37">
        <v>5184.6400000000003</v>
      </c>
      <c r="J37" t="s">
        <v>22</v>
      </c>
      <c r="K37">
        <v>0.17</v>
      </c>
      <c r="L37" t="s">
        <v>18</v>
      </c>
      <c r="M37" t="s">
        <v>19</v>
      </c>
      <c r="N37" t="s">
        <v>48</v>
      </c>
      <c r="O37" s="6">
        <f>SalesMaster[[#This Row],[Sales_Amount]]*SalesMaster[[#This Row],[Quantity_Sold]]</f>
        <v>34577.660000000003</v>
      </c>
      <c r="P37" s="6">
        <f>SalesMaster[[#This Row],[Quantity_Sold]]*SalesMaster[[#This Row],[Unit_Cost]]</f>
        <v>169463.14</v>
      </c>
      <c r="Q37" s="6">
        <f>SalesMaster[[#This Row],[Total_Sales]]-SalesMaster[[#This Row],[Total_Cost]]</f>
        <v>-134885.48000000001</v>
      </c>
      <c r="R37" s="1">
        <f>IFERROR(SalesMaster[Net Profit]/SalesMaster[Total_Sales], 0)</f>
        <v>-3.900942978790352</v>
      </c>
      <c r="S37" t="str">
        <f>TEXT(SalesMaster[[#This Row],[Sale_Date]], "mmm")</f>
        <v>Jan</v>
      </c>
      <c r="T37" s="6" t="str">
        <f>IF(SalesMaster[Profit_Margin]&gt;=0.15, "Excellent", IF(SalesMaster[Profit_Margin]&gt;=0.05, "Average", "Needs Improvement"))</f>
        <v>Needs Improvement</v>
      </c>
    </row>
    <row r="38" spans="1:20">
      <c r="A38">
        <v>1084</v>
      </c>
      <c r="B38" s="2">
        <v>44937</v>
      </c>
      <c r="C38" t="s">
        <v>35</v>
      </c>
      <c r="D38" t="s">
        <v>36</v>
      </c>
      <c r="E38">
        <v>8967.18</v>
      </c>
      <c r="F38">
        <v>21</v>
      </c>
      <c r="G38" t="s">
        <v>16</v>
      </c>
      <c r="H38">
        <v>576.74</v>
      </c>
      <c r="I38">
        <v>648.29</v>
      </c>
      <c r="J38" t="s">
        <v>17</v>
      </c>
      <c r="K38">
        <v>0.2</v>
      </c>
      <c r="L38" t="s">
        <v>27</v>
      </c>
      <c r="M38" t="s">
        <v>19</v>
      </c>
      <c r="N38" t="s">
        <v>37</v>
      </c>
      <c r="O38" s="6">
        <f>SalesMaster[[#This Row],[Sales_Amount]]*SalesMaster[[#This Row],[Quantity_Sold]]</f>
        <v>188310.78</v>
      </c>
      <c r="P38" s="6">
        <f>SalesMaster[[#This Row],[Quantity_Sold]]*SalesMaster[[#This Row],[Unit_Cost]]</f>
        <v>12111.54</v>
      </c>
      <c r="Q38" s="6">
        <f>SalesMaster[[#This Row],[Total_Sales]]-SalesMaster[[#This Row],[Total_Cost]]</f>
        <v>176199.24</v>
      </c>
      <c r="R38" s="1">
        <f>IFERROR(SalesMaster[Net Profit]/SalesMaster[Total_Sales], 0)</f>
        <v>0.93568323597831193</v>
      </c>
      <c r="S38" t="str">
        <f>TEXT(SalesMaster[[#This Row],[Sale_Date]], "mmm")</f>
        <v>Jan</v>
      </c>
      <c r="T38" s="6" t="str">
        <f>IF(SalesMaster[Profit_Margin]&gt;=0.15, "Excellent", IF(SalesMaster[Profit_Margin]&gt;=0.05, "Average", "Needs Improvement"))</f>
        <v>Excellent</v>
      </c>
    </row>
    <row r="39" spans="1:20">
      <c r="A39">
        <v>1088</v>
      </c>
      <c r="B39" s="2">
        <v>44937</v>
      </c>
      <c r="C39" t="s">
        <v>42</v>
      </c>
      <c r="D39" t="s">
        <v>25</v>
      </c>
      <c r="E39">
        <v>1758.16</v>
      </c>
      <c r="F39">
        <v>11</v>
      </c>
      <c r="G39" t="s">
        <v>41</v>
      </c>
      <c r="H39">
        <v>3884.13</v>
      </c>
      <c r="I39">
        <v>3915.41</v>
      </c>
      <c r="J39" t="s">
        <v>17</v>
      </c>
      <c r="K39">
        <v>0.02</v>
      </c>
      <c r="L39" t="s">
        <v>18</v>
      </c>
      <c r="M39" t="s">
        <v>19</v>
      </c>
      <c r="N39" t="s">
        <v>49</v>
      </c>
      <c r="O39" s="6">
        <f>SalesMaster[[#This Row],[Sales_Amount]]*SalesMaster[[#This Row],[Quantity_Sold]]</f>
        <v>19339.760000000002</v>
      </c>
      <c r="P39" s="6">
        <f>SalesMaster[[#This Row],[Quantity_Sold]]*SalesMaster[[#This Row],[Unit_Cost]]</f>
        <v>42725.43</v>
      </c>
      <c r="Q39" s="6">
        <f>SalesMaster[[#This Row],[Total_Sales]]-SalesMaster[[#This Row],[Total_Cost]]</f>
        <v>-23385.67</v>
      </c>
      <c r="R39" s="1">
        <f>IFERROR(SalesMaster[Net Profit]/SalesMaster[Total_Sales], 0)</f>
        <v>-1.2092016653774398</v>
      </c>
      <c r="S39" t="str">
        <f>TEXT(SalesMaster[[#This Row],[Sale_Date]], "mmm")</f>
        <v>Jan</v>
      </c>
      <c r="T39" s="6" t="str">
        <f>IF(SalesMaster[Profit_Margin]&gt;=0.15, "Excellent", IF(SalesMaster[Profit_Margin]&gt;=0.05, "Average", "Needs Improvement"))</f>
        <v>Needs Improvement</v>
      </c>
    </row>
    <row r="40" spans="1:20">
      <c r="A40">
        <v>1022</v>
      </c>
      <c r="B40" s="2">
        <v>44938</v>
      </c>
      <c r="C40" t="s">
        <v>14</v>
      </c>
      <c r="D40" t="s">
        <v>36</v>
      </c>
      <c r="E40">
        <v>2761.65</v>
      </c>
      <c r="F40">
        <v>13</v>
      </c>
      <c r="G40" t="s">
        <v>41</v>
      </c>
      <c r="H40">
        <v>2312.4499999999998</v>
      </c>
      <c r="I40">
        <v>2504.6</v>
      </c>
      <c r="J40" t="s">
        <v>17</v>
      </c>
      <c r="K40">
        <v>0.06</v>
      </c>
      <c r="L40" t="s">
        <v>27</v>
      </c>
      <c r="M40" t="s">
        <v>19</v>
      </c>
      <c r="N40" t="s">
        <v>39</v>
      </c>
      <c r="O40" s="6">
        <f>SalesMaster[[#This Row],[Sales_Amount]]*SalesMaster[[#This Row],[Quantity_Sold]]</f>
        <v>35901.450000000004</v>
      </c>
      <c r="P40" s="6">
        <f>SalesMaster[[#This Row],[Quantity_Sold]]*SalesMaster[[#This Row],[Unit_Cost]]</f>
        <v>30061.85</v>
      </c>
      <c r="Q40" s="6">
        <f>SalesMaster[[#This Row],[Total_Sales]]-SalesMaster[[#This Row],[Total_Cost]]</f>
        <v>5839.6000000000058</v>
      </c>
      <c r="R40" s="1">
        <f>IFERROR(SalesMaster[Net Profit]/SalesMaster[Total_Sales], 0)</f>
        <v>0.16265638295946278</v>
      </c>
      <c r="S40" t="str">
        <f>TEXT(SalesMaster[[#This Row],[Sale_Date]], "mmm")</f>
        <v>Jan</v>
      </c>
      <c r="T40" s="6" t="str">
        <f>IF(SalesMaster[Profit_Margin]&gt;=0.15, "Excellent", IF(SalesMaster[Profit_Margin]&gt;=0.05, "Average", "Needs Improvement"))</f>
        <v>Excellent</v>
      </c>
    </row>
    <row r="41" spans="1:20">
      <c r="A41">
        <v>1078</v>
      </c>
      <c r="B41" s="2">
        <v>44938</v>
      </c>
      <c r="C41" t="s">
        <v>14</v>
      </c>
      <c r="D41" t="s">
        <v>36</v>
      </c>
      <c r="E41">
        <v>4481.2</v>
      </c>
      <c r="F41">
        <v>36</v>
      </c>
      <c r="G41" t="s">
        <v>41</v>
      </c>
      <c r="H41">
        <v>4548.88</v>
      </c>
      <c r="I41">
        <v>4853.41</v>
      </c>
      <c r="J41" t="s">
        <v>17</v>
      </c>
      <c r="K41">
        <v>0.25</v>
      </c>
      <c r="L41" t="s">
        <v>23</v>
      </c>
      <c r="M41" t="s">
        <v>28</v>
      </c>
      <c r="N41" t="s">
        <v>39</v>
      </c>
      <c r="O41" s="6">
        <f>SalesMaster[[#This Row],[Sales_Amount]]*SalesMaster[[#This Row],[Quantity_Sold]]</f>
        <v>161323.19999999998</v>
      </c>
      <c r="P41" s="6">
        <f>SalesMaster[[#This Row],[Quantity_Sold]]*SalesMaster[[#This Row],[Unit_Cost]]</f>
        <v>163759.67999999999</v>
      </c>
      <c r="Q41" s="6">
        <f>SalesMaster[[#This Row],[Total_Sales]]-SalesMaster[[#This Row],[Total_Cost]]</f>
        <v>-2436.4800000000105</v>
      </c>
      <c r="R41" s="1">
        <f>IFERROR(SalesMaster[Net Profit]/SalesMaster[Total_Sales], 0)</f>
        <v>-1.5103097384629184E-2</v>
      </c>
      <c r="S41" t="str">
        <f>TEXT(SalesMaster[[#This Row],[Sale_Date]], "mmm")</f>
        <v>Jan</v>
      </c>
      <c r="T41" s="6" t="str">
        <f>IF(SalesMaster[Profit_Margin]&gt;=0.15, "Excellent", IF(SalesMaster[Profit_Margin]&gt;=0.05, "Average", "Needs Improvement"))</f>
        <v>Needs Improvement</v>
      </c>
    </row>
    <row r="42" spans="1:20">
      <c r="A42">
        <v>1087</v>
      </c>
      <c r="B42" s="2">
        <v>44938</v>
      </c>
      <c r="C42" t="s">
        <v>21</v>
      </c>
      <c r="D42" t="s">
        <v>15</v>
      </c>
      <c r="E42">
        <v>6701.79</v>
      </c>
      <c r="F42">
        <v>21</v>
      </c>
      <c r="G42" t="s">
        <v>41</v>
      </c>
      <c r="H42">
        <v>3724.38</v>
      </c>
      <c r="I42">
        <v>3988.7</v>
      </c>
      <c r="J42" t="s">
        <v>22</v>
      </c>
      <c r="K42">
        <v>0.03</v>
      </c>
      <c r="L42" t="s">
        <v>27</v>
      </c>
      <c r="M42" t="s">
        <v>28</v>
      </c>
      <c r="N42" t="s">
        <v>24</v>
      </c>
      <c r="O42" s="6">
        <f>SalesMaster[[#This Row],[Sales_Amount]]*SalesMaster[[#This Row],[Quantity_Sold]]</f>
        <v>140737.59</v>
      </c>
      <c r="P42" s="6">
        <f>SalesMaster[[#This Row],[Quantity_Sold]]*SalesMaster[[#This Row],[Unit_Cost]]</f>
        <v>78211.98</v>
      </c>
      <c r="Q42" s="6">
        <f>SalesMaster[[#This Row],[Total_Sales]]-SalesMaster[[#This Row],[Total_Cost]]</f>
        <v>62525.61</v>
      </c>
      <c r="R42" s="1">
        <f>IFERROR(SalesMaster[Net Profit]/SalesMaster[Total_Sales], 0)</f>
        <v>0.44427085897946672</v>
      </c>
      <c r="S42" t="str">
        <f>TEXT(SalesMaster[[#This Row],[Sale_Date]], "mmm")</f>
        <v>Jan</v>
      </c>
      <c r="T42" s="6" t="str">
        <f>IF(SalesMaster[Profit_Margin]&gt;=0.15, "Excellent", IF(SalesMaster[Profit_Margin]&gt;=0.05, "Average", "Needs Improvement"))</f>
        <v>Excellent</v>
      </c>
    </row>
    <row r="43" spans="1:20">
      <c r="A43">
        <v>1013</v>
      </c>
      <c r="B43" s="2">
        <v>44938</v>
      </c>
      <c r="C43" t="s">
        <v>42</v>
      </c>
      <c r="D43" t="s">
        <v>33</v>
      </c>
      <c r="E43">
        <v>7646.8</v>
      </c>
      <c r="F43">
        <v>35</v>
      </c>
      <c r="G43" t="s">
        <v>31</v>
      </c>
      <c r="H43">
        <v>1312.71</v>
      </c>
      <c r="I43">
        <v>1352.11</v>
      </c>
      <c r="J43" t="s">
        <v>17</v>
      </c>
      <c r="K43">
        <v>0.22</v>
      </c>
      <c r="L43" t="s">
        <v>27</v>
      </c>
      <c r="M43" t="s">
        <v>28</v>
      </c>
      <c r="N43" t="s">
        <v>50</v>
      </c>
      <c r="O43" s="6">
        <f>SalesMaster[[#This Row],[Sales_Amount]]*SalesMaster[[#This Row],[Quantity_Sold]]</f>
        <v>267638</v>
      </c>
      <c r="P43" s="6">
        <f>SalesMaster[[#This Row],[Quantity_Sold]]*SalesMaster[[#This Row],[Unit_Cost]]</f>
        <v>45944.85</v>
      </c>
      <c r="Q43" s="6">
        <f>SalesMaster[[#This Row],[Total_Sales]]-SalesMaster[[#This Row],[Total_Cost]]</f>
        <v>221693.15</v>
      </c>
      <c r="R43" s="1">
        <f>IFERROR(SalesMaster[Net Profit]/SalesMaster[Total_Sales], 0)</f>
        <v>0.82833211277920171</v>
      </c>
      <c r="S43" t="str">
        <f>TEXT(SalesMaster[[#This Row],[Sale_Date]], "mmm")</f>
        <v>Jan</v>
      </c>
      <c r="T43" s="6" t="str">
        <f>IF(SalesMaster[Profit_Margin]&gt;=0.15, "Excellent", IF(SalesMaster[Profit_Margin]&gt;=0.05, "Average", "Needs Improvement"))</f>
        <v>Excellent</v>
      </c>
    </row>
    <row r="44" spans="1:20">
      <c r="A44">
        <v>1045</v>
      </c>
      <c r="B44" s="2">
        <v>44938</v>
      </c>
      <c r="C44" t="s">
        <v>21</v>
      </c>
      <c r="D44" t="s">
        <v>25</v>
      </c>
      <c r="E44">
        <v>9613.11</v>
      </c>
      <c r="F44">
        <v>35</v>
      </c>
      <c r="G44" t="s">
        <v>26</v>
      </c>
      <c r="H44">
        <v>3777.94</v>
      </c>
      <c r="I44">
        <v>4188.66</v>
      </c>
      <c r="J44" t="s">
        <v>22</v>
      </c>
      <c r="K44">
        <v>0.17</v>
      </c>
      <c r="L44" t="s">
        <v>27</v>
      </c>
      <c r="M44" t="s">
        <v>19</v>
      </c>
      <c r="N44" t="s">
        <v>51</v>
      </c>
      <c r="O44" s="6">
        <f>SalesMaster[[#This Row],[Sales_Amount]]*SalesMaster[[#This Row],[Quantity_Sold]]</f>
        <v>336458.85000000003</v>
      </c>
      <c r="P44" s="6">
        <f>SalesMaster[[#This Row],[Quantity_Sold]]*SalesMaster[[#This Row],[Unit_Cost]]</f>
        <v>132227.9</v>
      </c>
      <c r="Q44" s="6">
        <f>SalesMaster[[#This Row],[Total_Sales]]-SalesMaster[[#This Row],[Total_Cost]]</f>
        <v>204230.95000000004</v>
      </c>
      <c r="R44" s="1">
        <f>IFERROR(SalesMaster[Net Profit]/SalesMaster[Total_Sales], 0)</f>
        <v>0.60700127222095668</v>
      </c>
      <c r="S44" t="str">
        <f>TEXT(SalesMaster[[#This Row],[Sale_Date]], "mmm")</f>
        <v>Jan</v>
      </c>
      <c r="T44" s="6" t="str">
        <f>IF(SalesMaster[Profit_Margin]&gt;=0.15, "Excellent", IF(SalesMaster[Profit_Margin]&gt;=0.05, "Average", "Needs Improvement"))</f>
        <v>Excellent</v>
      </c>
    </row>
    <row r="45" spans="1:20">
      <c r="A45">
        <v>1094</v>
      </c>
      <c r="B45" s="2">
        <v>44938</v>
      </c>
      <c r="C45" t="s">
        <v>14</v>
      </c>
      <c r="D45" t="s">
        <v>33</v>
      </c>
      <c r="E45">
        <v>5835.21</v>
      </c>
      <c r="F45">
        <v>38</v>
      </c>
      <c r="G45" t="s">
        <v>41</v>
      </c>
      <c r="H45">
        <v>3443.98</v>
      </c>
      <c r="I45">
        <v>3820.3</v>
      </c>
      <c r="J45" t="s">
        <v>17</v>
      </c>
      <c r="K45">
        <v>0.01</v>
      </c>
      <c r="L45" t="s">
        <v>23</v>
      </c>
      <c r="M45" t="s">
        <v>28</v>
      </c>
      <c r="N45" t="s">
        <v>45</v>
      </c>
      <c r="O45" s="6">
        <f>SalesMaster[[#This Row],[Sales_Amount]]*SalesMaster[[#This Row],[Quantity_Sold]]</f>
        <v>221737.98</v>
      </c>
      <c r="P45" s="6">
        <f>SalesMaster[[#This Row],[Quantity_Sold]]*SalesMaster[[#This Row],[Unit_Cost]]</f>
        <v>130871.24</v>
      </c>
      <c r="Q45" s="6">
        <f>SalesMaster[[#This Row],[Total_Sales]]-SalesMaster[[#This Row],[Total_Cost]]</f>
        <v>90866.74</v>
      </c>
      <c r="R45" s="1">
        <f>IFERROR(SalesMaster[Net Profit]/SalesMaster[Total_Sales], 0)</f>
        <v>0.40979330649625295</v>
      </c>
      <c r="S45" t="str">
        <f>TEXT(SalesMaster[[#This Row],[Sale_Date]], "mmm")</f>
        <v>Jan</v>
      </c>
      <c r="T45" s="6" t="str">
        <f>IF(SalesMaster[Profit_Margin]&gt;=0.15, "Excellent", IF(SalesMaster[Profit_Margin]&gt;=0.05, "Average", "Needs Improvement"))</f>
        <v>Excellent</v>
      </c>
    </row>
    <row r="46" spans="1:20">
      <c r="A46">
        <v>1048</v>
      </c>
      <c r="B46" s="2">
        <v>44938</v>
      </c>
      <c r="C46" t="s">
        <v>21</v>
      </c>
      <c r="D46" t="s">
        <v>36</v>
      </c>
      <c r="E46">
        <v>6482.98</v>
      </c>
      <c r="F46">
        <v>47</v>
      </c>
      <c r="G46" t="s">
        <v>16</v>
      </c>
      <c r="H46">
        <v>702.44</v>
      </c>
      <c r="I46">
        <v>1067.6600000000001</v>
      </c>
      <c r="J46" t="s">
        <v>22</v>
      </c>
      <c r="K46">
        <v>0.24</v>
      </c>
      <c r="L46" t="s">
        <v>18</v>
      </c>
      <c r="M46" t="s">
        <v>28</v>
      </c>
      <c r="N46" t="s">
        <v>38</v>
      </c>
      <c r="O46" s="6">
        <f>SalesMaster[[#This Row],[Sales_Amount]]*SalesMaster[[#This Row],[Quantity_Sold]]</f>
        <v>304700.06</v>
      </c>
      <c r="P46" s="6">
        <f>SalesMaster[[#This Row],[Quantity_Sold]]*SalesMaster[[#This Row],[Unit_Cost]]</f>
        <v>33014.68</v>
      </c>
      <c r="Q46" s="6">
        <f>SalesMaster[[#This Row],[Total_Sales]]-SalesMaster[[#This Row],[Total_Cost]]</f>
        <v>271685.38</v>
      </c>
      <c r="R46" s="1">
        <f>IFERROR(SalesMaster[Net Profit]/SalesMaster[Total_Sales], 0)</f>
        <v>0.89164859370227889</v>
      </c>
      <c r="S46" t="str">
        <f>TEXT(SalesMaster[[#This Row],[Sale_Date]], "mmm")</f>
        <v>Jan</v>
      </c>
      <c r="T46" s="6" t="str">
        <f>IF(SalesMaster[Profit_Margin]&gt;=0.15, "Excellent", IF(SalesMaster[Profit_Margin]&gt;=0.05, "Average", "Needs Improvement"))</f>
        <v>Excellent</v>
      </c>
    </row>
    <row r="47" spans="1:20">
      <c r="A47">
        <v>1090</v>
      </c>
      <c r="B47" s="2">
        <v>44939</v>
      </c>
      <c r="C47" t="s">
        <v>42</v>
      </c>
      <c r="D47" t="s">
        <v>36</v>
      </c>
      <c r="E47">
        <v>2359.5300000000002</v>
      </c>
      <c r="F47">
        <v>17</v>
      </c>
      <c r="G47" t="s">
        <v>16</v>
      </c>
      <c r="H47">
        <v>2382.98</v>
      </c>
      <c r="I47">
        <v>2839.73</v>
      </c>
      <c r="J47" t="s">
        <v>17</v>
      </c>
      <c r="K47">
        <v>0.23</v>
      </c>
      <c r="L47" t="s">
        <v>27</v>
      </c>
      <c r="M47" t="s">
        <v>28</v>
      </c>
      <c r="N47" t="s">
        <v>43</v>
      </c>
      <c r="O47" s="6">
        <f>SalesMaster[[#This Row],[Sales_Amount]]*SalesMaster[[#This Row],[Quantity_Sold]]</f>
        <v>40112.01</v>
      </c>
      <c r="P47" s="6">
        <f>SalesMaster[[#This Row],[Quantity_Sold]]*SalesMaster[[#This Row],[Unit_Cost]]</f>
        <v>40510.660000000003</v>
      </c>
      <c r="Q47" s="6">
        <f>SalesMaster[[#This Row],[Total_Sales]]-SalesMaster[[#This Row],[Total_Cost]]</f>
        <v>-398.65000000000146</v>
      </c>
      <c r="R47" s="1">
        <f>IFERROR(SalesMaster[Net Profit]/SalesMaster[Total_Sales], 0)</f>
        <v>-9.9384199395642706E-3</v>
      </c>
      <c r="S47" t="str">
        <f>TEXT(SalesMaster[[#This Row],[Sale_Date]], "mmm")</f>
        <v>Jan</v>
      </c>
      <c r="T47" s="6" t="str">
        <f>IF(SalesMaster[Profit_Margin]&gt;=0.15, "Excellent", IF(SalesMaster[Profit_Margin]&gt;=0.05, "Average", "Needs Improvement"))</f>
        <v>Needs Improvement</v>
      </c>
    </row>
    <row r="48" spans="1:20">
      <c r="A48">
        <v>1012</v>
      </c>
      <c r="B48" s="2">
        <v>44939</v>
      </c>
      <c r="C48" t="s">
        <v>42</v>
      </c>
      <c r="D48" t="s">
        <v>36</v>
      </c>
      <c r="E48">
        <v>8892.3700000000008</v>
      </c>
      <c r="F48">
        <v>39</v>
      </c>
      <c r="G48" t="s">
        <v>26</v>
      </c>
      <c r="H48">
        <v>3126.52</v>
      </c>
      <c r="I48">
        <v>3465.79</v>
      </c>
      <c r="J48" t="s">
        <v>22</v>
      </c>
      <c r="K48">
        <v>0.08</v>
      </c>
      <c r="L48" t="s">
        <v>18</v>
      </c>
      <c r="M48" t="s">
        <v>19</v>
      </c>
      <c r="N48" t="s">
        <v>43</v>
      </c>
      <c r="O48" s="6">
        <f>SalesMaster[[#This Row],[Sales_Amount]]*SalesMaster[[#This Row],[Quantity_Sold]]</f>
        <v>346802.43000000005</v>
      </c>
      <c r="P48" s="6">
        <f>SalesMaster[[#This Row],[Quantity_Sold]]*SalesMaster[[#This Row],[Unit_Cost]]</f>
        <v>121934.28</v>
      </c>
      <c r="Q48" s="6">
        <f>SalesMaster[[#This Row],[Total_Sales]]-SalesMaster[[#This Row],[Total_Cost]]</f>
        <v>224868.15000000005</v>
      </c>
      <c r="R48" s="1">
        <f>IFERROR(SalesMaster[Net Profit]/SalesMaster[Total_Sales], 0)</f>
        <v>0.64840419370763935</v>
      </c>
      <c r="S48" t="str">
        <f>TEXT(SalesMaster[[#This Row],[Sale_Date]], "mmm")</f>
        <v>Jan</v>
      </c>
      <c r="T48" s="6" t="str">
        <f>IF(SalesMaster[Profit_Margin]&gt;=0.15, "Excellent", IF(SalesMaster[Profit_Margin]&gt;=0.05, "Average", "Needs Improvement"))</f>
        <v>Excellent</v>
      </c>
    </row>
    <row r="49" spans="1:20">
      <c r="A49">
        <v>1033</v>
      </c>
      <c r="B49" s="2">
        <v>44940</v>
      </c>
      <c r="C49" t="s">
        <v>42</v>
      </c>
      <c r="D49" t="s">
        <v>33</v>
      </c>
      <c r="E49">
        <v>1740.92</v>
      </c>
      <c r="F49">
        <v>24</v>
      </c>
      <c r="G49" t="s">
        <v>16</v>
      </c>
      <c r="H49">
        <v>1345.67</v>
      </c>
      <c r="I49">
        <v>1367.76</v>
      </c>
      <c r="J49" t="s">
        <v>22</v>
      </c>
      <c r="K49">
        <v>0.06</v>
      </c>
      <c r="L49" t="s">
        <v>27</v>
      </c>
      <c r="M49" t="s">
        <v>19</v>
      </c>
      <c r="N49" t="s">
        <v>50</v>
      </c>
      <c r="O49" s="6">
        <f>SalesMaster[[#This Row],[Sales_Amount]]*SalesMaster[[#This Row],[Quantity_Sold]]</f>
        <v>41782.080000000002</v>
      </c>
      <c r="P49" s="6">
        <f>SalesMaster[[#This Row],[Quantity_Sold]]*SalesMaster[[#This Row],[Unit_Cost]]</f>
        <v>32296.080000000002</v>
      </c>
      <c r="Q49" s="6">
        <f>SalesMaster[[#This Row],[Total_Sales]]-SalesMaster[[#This Row],[Total_Cost]]</f>
        <v>9486</v>
      </c>
      <c r="R49" s="1">
        <f>IFERROR(SalesMaster[Net Profit]/SalesMaster[Total_Sales], 0)</f>
        <v>0.22703513085035498</v>
      </c>
      <c r="S49" t="str">
        <f>TEXT(SalesMaster[[#This Row],[Sale_Date]], "mmm")</f>
        <v>Jan</v>
      </c>
      <c r="T49" s="6" t="str">
        <f>IF(SalesMaster[Profit_Margin]&gt;=0.15, "Excellent", IF(SalesMaster[Profit_Margin]&gt;=0.05, "Average", "Needs Improvement"))</f>
        <v>Excellent</v>
      </c>
    </row>
    <row r="50" spans="1:20">
      <c r="A50">
        <v>1058</v>
      </c>
      <c r="B50" s="2">
        <v>44940</v>
      </c>
      <c r="C50" t="s">
        <v>35</v>
      </c>
      <c r="D50" t="s">
        <v>36</v>
      </c>
      <c r="E50">
        <v>5235.1400000000003</v>
      </c>
      <c r="F50">
        <v>6</v>
      </c>
      <c r="G50" t="s">
        <v>41</v>
      </c>
      <c r="H50">
        <v>4987.71</v>
      </c>
      <c r="I50">
        <v>4998.78</v>
      </c>
      <c r="J50" t="s">
        <v>17</v>
      </c>
      <c r="K50">
        <v>0.17</v>
      </c>
      <c r="L50" t="s">
        <v>18</v>
      </c>
      <c r="M50" t="s">
        <v>28</v>
      </c>
      <c r="N50" t="s">
        <v>37</v>
      </c>
      <c r="O50" s="6">
        <f>SalesMaster[[#This Row],[Sales_Amount]]*SalesMaster[[#This Row],[Quantity_Sold]]</f>
        <v>31410.840000000004</v>
      </c>
      <c r="P50" s="6">
        <f>SalesMaster[[#This Row],[Quantity_Sold]]*SalesMaster[[#This Row],[Unit_Cost]]</f>
        <v>29926.260000000002</v>
      </c>
      <c r="Q50" s="6">
        <f>SalesMaster[[#This Row],[Total_Sales]]-SalesMaster[[#This Row],[Total_Cost]]</f>
        <v>1484.5800000000017</v>
      </c>
      <c r="R50" s="1">
        <f>IFERROR(SalesMaster[Net Profit]/SalesMaster[Total_Sales], 0)</f>
        <v>4.7263301458986821E-2</v>
      </c>
      <c r="S50" t="str">
        <f>TEXT(SalesMaster[[#This Row],[Sale_Date]], "mmm")</f>
        <v>Jan</v>
      </c>
      <c r="T50" s="6" t="str">
        <f>IF(SalesMaster[Profit_Margin]&gt;=0.15, "Excellent", IF(SalesMaster[Profit_Margin]&gt;=0.05, "Average", "Needs Improvement"))</f>
        <v>Needs Improvement</v>
      </c>
    </row>
    <row r="51" spans="1:20">
      <c r="A51">
        <v>1024</v>
      </c>
      <c r="B51" s="2">
        <v>44940</v>
      </c>
      <c r="C51" t="s">
        <v>35</v>
      </c>
      <c r="D51" t="s">
        <v>25</v>
      </c>
      <c r="E51">
        <v>3334.75</v>
      </c>
      <c r="F51">
        <v>45</v>
      </c>
      <c r="G51" t="s">
        <v>16</v>
      </c>
      <c r="H51">
        <v>2693.99</v>
      </c>
      <c r="I51">
        <v>3045.9399999999901</v>
      </c>
      <c r="J51" t="s">
        <v>22</v>
      </c>
      <c r="K51">
        <v>0.01</v>
      </c>
      <c r="L51" t="s">
        <v>18</v>
      </c>
      <c r="M51" t="s">
        <v>28</v>
      </c>
      <c r="N51" t="s">
        <v>40</v>
      </c>
      <c r="O51" s="6">
        <f>SalesMaster[[#This Row],[Sales_Amount]]*SalesMaster[[#This Row],[Quantity_Sold]]</f>
        <v>150063.75</v>
      </c>
      <c r="P51" s="6">
        <f>SalesMaster[[#This Row],[Quantity_Sold]]*SalesMaster[[#This Row],[Unit_Cost]]</f>
        <v>121229.54999999999</v>
      </c>
      <c r="Q51" s="6">
        <f>SalesMaster[[#This Row],[Total_Sales]]-SalesMaster[[#This Row],[Total_Cost]]</f>
        <v>28834.200000000012</v>
      </c>
      <c r="R51" s="1">
        <f>IFERROR(SalesMaster[Net Profit]/SalesMaster[Total_Sales], 0)</f>
        <v>0.19214633780643234</v>
      </c>
      <c r="S51" t="str">
        <f>TEXT(SalesMaster[[#This Row],[Sale_Date]], "mmm")</f>
        <v>Jan</v>
      </c>
      <c r="T51" s="6" t="str">
        <f>IF(SalesMaster[Profit_Margin]&gt;=0.15, "Excellent", IF(SalesMaster[Profit_Margin]&gt;=0.05, "Average", "Needs Improvement"))</f>
        <v>Excellent</v>
      </c>
    </row>
    <row r="52" spans="1:20">
      <c r="A52">
        <v>1056</v>
      </c>
      <c r="B52" s="2">
        <v>44940</v>
      </c>
      <c r="C52" t="s">
        <v>21</v>
      </c>
      <c r="D52" t="s">
        <v>33</v>
      </c>
      <c r="E52">
        <v>5720.5</v>
      </c>
      <c r="F52">
        <v>25</v>
      </c>
      <c r="G52" t="s">
        <v>41</v>
      </c>
      <c r="H52">
        <v>2361.7399999999998</v>
      </c>
      <c r="I52">
        <v>2584.35</v>
      </c>
      <c r="J52" t="s">
        <v>17</v>
      </c>
      <c r="K52">
        <v>0.2</v>
      </c>
      <c r="L52" t="s">
        <v>18</v>
      </c>
      <c r="M52" t="s">
        <v>19</v>
      </c>
      <c r="N52" t="s">
        <v>48</v>
      </c>
      <c r="O52" s="6">
        <f>SalesMaster[[#This Row],[Sales_Amount]]*SalesMaster[[#This Row],[Quantity_Sold]]</f>
        <v>143012.5</v>
      </c>
      <c r="P52" s="6">
        <f>SalesMaster[[#This Row],[Quantity_Sold]]*SalesMaster[[#This Row],[Unit_Cost]]</f>
        <v>59043.499999999993</v>
      </c>
      <c r="Q52" s="6">
        <f>SalesMaster[[#This Row],[Total_Sales]]-SalesMaster[[#This Row],[Total_Cost]]</f>
        <v>83969</v>
      </c>
      <c r="R52" s="1">
        <f>IFERROR(SalesMaster[Net Profit]/SalesMaster[Total_Sales], 0)</f>
        <v>0.58714448037758937</v>
      </c>
      <c r="S52" t="str">
        <f>TEXT(SalesMaster[[#This Row],[Sale_Date]], "mmm")</f>
        <v>Jan</v>
      </c>
      <c r="T52" s="6" t="str">
        <f>IF(SalesMaster[Profit_Margin]&gt;=0.15, "Excellent", IF(SalesMaster[Profit_Margin]&gt;=0.05, "Average", "Needs Improvement"))</f>
        <v>Excellent</v>
      </c>
    </row>
    <row r="53" spans="1:20">
      <c r="A53">
        <v>1027</v>
      </c>
      <c r="B53" s="2">
        <v>44941</v>
      </c>
      <c r="C53" t="s">
        <v>35</v>
      </c>
      <c r="D53" t="s">
        <v>33</v>
      </c>
      <c r="E53">
        <v>6261.2</v>
      </c>
      <c r="F53">
        <v>26</v>
      </c>
      <c r="G53" t="s">
        <v>41</v>
      </c>
      <c r="H53">
        <v>149.11000000000001</v>
      </c>
      <c r="I53">
        <v>477.67</v>
      </c>
      <c r="J53" t="s">
        <v>17</v>
      </c>
      <c r="K53">
        <v>0.14000000000000001</v>
      </c>
      <c r="L53" t="s">
        <v>18</v>
      </c>
      <c r="M53" t="s">
        <v>28</v>
      </c>
      <c r="N53" t="s">
        <v>52</v>
      </c>
      <c r="O53" s="6">
        <f>SalesMaster[[#This Row],[Sales_Amount]]*SalesMaster[[#This Row],[Quantity_Sold]]</f>
        <v>162791.19999999998</v>
      </c>
      <c r="P53" s="6">
        <f>SalesMaster[[#This Row],[Quantity_Sold]]*SalesMaster[[#This Row],[Unit_Cost]]</f>
        <v>3876.8600000000006</v>
      </c>
      <c r="Q53" s="6">
        <f>SalesMaster[[#This Row],[Total_Sales]]-SalesMaster[[#This Row],[Total_Cost]]</f>
        <v>158914.33999999997</v>
      </c>
      <c r="R53" s="1">
        <f>IFERROR(SalesMaster[Net Profit]/SalesMaster[Total_Sales], 0)</f>
        <v>0.97618507634319285</v>
      </c>
      <c r="S53" t="str">
        <f>TEXT(SalesMaster[[#This Row],[Sale_Date]], "mmm")</f>
        <v>Jan</v>
      </c>
      <c r="T53" s="6" t="str">
        <f>IF(SalesMaster[Profit_Margin]&gt;=0.15, "Excellent", IF(SalesMaster[Profit_Margin]&gt;=0.05, "Average", "Needs Improvement"))</f>
        <v>Excellent</v>
      </c>
    </row>
    <row r="54" spans="1:20">
      <c r="A54">
        <v>1042</v>
      </c>
      <c r="B54" s="2">
        <v>44941</v>
      </c>
      <c r="C54" t="s">
        <v>30</v>
      </c>
      <c r="D54" t="s">
        <v>25</v>
      </c>
      <c r="E54">
        <v>2298.5500000000002</v>
      </c>
      <c r="F54">
        <v>46</v>
      </c>
      <c r="G54" t="s">
        <v>26</v>
      </c>
      <c r="H54">
        <v>2172.38</v>
      </c>
      <c r="I54">
        <v>2367.11</v>
      </c>
      <c r="J54" t="s">
        <v>22</v>
      </c>
      <c r="K54">
        <v>0.16</v>
      </c>
      <c r="L54" t="s">
        <v>18</v>
      </c>
      <c r="M54" t="s">
        <v>28</v>
      </c>
      <c r="N54" t="s">
        <v>32</v>
      </c>
      <c r="O54" s="6">
        <f>SalesMaster[[#This Row],[Sales_Amount]]*SalesMaster[[#This Row],[Quantity_Sold]]</f>
        <v>105733.3</v>
      </c>
      <c r="P54" s="6">
        <f>SalesMaster[[#This Row],[Quantity_Sold]]*SalesMaster[[#This Row],[Unit_Cost]]</f>
        <v>99929.48000000001</v>
      </c>
      <c r="Q54" s="6">
        <f>SalesMaster[[#This Row],[Total_Sales]]-SalesMaster[[#This Row],[Total_Cost]]</f>
        <v>5803.8199999999924</v>
      </c>
      <c r="R54" s="1">
        <f>IFERROR(SalesMaster[Net Profit]/SalesMaster[Total_Sales], 0)</f>
        <v>5.489112701485712E-2</v>
      </c>
      <c r="S54" t="str">
        <f>TEXT(SalesMaster[[#This Row],[Sale_Date]], "mmm")</f>
        <v>Jan</v>
      </c>
      <c r="T54" s="6" t="str">
        <f>IF(SalesMaster[Profit_Margin]&gt;=0.15, "Excellent", IF(SalesMaster[Profit_Margin]&gt;=0.05, "Average", "Needs Improvement"))</f>
        <v>Average</v>
      </c>
    </row>
    <row r="55" spans="1:20">
      <c r="A55">
        <v>1040</v>
      </c>
      <c r="B55" s="2">
        <v>44941</v>
      </c>
      <c r="C55" t="s">
        <v>21</v>
      </c>
      <c r="D55" t="s">
        <v>15</v>
      </c>
      <c r="E55">
        <v>8601.77</v>
      </c>
      <c r="F55">
        <v>19</v>
      </c>
      <c r="G55" t="s">
        <v>26</v>
      </c>
      <c r="H55">
        <v>342.3</v>
      </c>
      <c r="I55">
        <v>768.06</v>
      </c>
      <c r="J55" t="s">
        <v>17</v>
      </c>
      <c r="K55">
        <v>0.09</v>
      </c>
      <c r="L55" t="s">
        <v>23</v>
      </c>
      <c r="M55" t="s">
        <v>19</v>
      </c>
      <c r="N55" t="s">
        <v>24</v>
      </c>
      <c r="O55" s="6">
        <f>SalesMaster[[#This Row],[Sales_Amount]]*SalesMaster[[#This Row],[Quantity_Sold]]</f>
        <v>163433.63</v>
      </c>
      <c r="P55" s="6">
        <f>SalesMaster[[#This Row],[Quantity_Sold]]*SalesMaster[[#This Row],[Unit_Cost]]</f>
        <v>6503.7</v>
      </c>
      <c r="Q55" s="6">
        <f>SalesMaster[[#This Row],[Total_Sales]]-SalesMaster[[#This Row],[Total_Cost]]</f>
        <v>156929.93</v>
      </c>
      <c r="R55" s="1">
        <f>IFERROR(SalesMaster[Net Profit]/SalesMaster[Total_Sales], 0)</f>
        <v>0.96020586460693547</v>
      </c>
      <c r="S55" t="str">
        <f>TEXT(SalesMaster[[#This Row],[Sale_Date]], "mmm")</f>
        <v>Jan</v>
      </c>
      <c r="T55" s="6" t="str">
        <f>IF(SalesMaster[Profit_Margin]&gt;=0.15, "Excellent", IF(SalesMaster[Profit_Margin]&gt;=0.05, "Average", "Needs Improvement"))</f>
        <v>Excellent</v>
      </c>
    </row>
    <row r="56" spans="1:20">
      <c r="A56">
        <v>1017</v>
      </c>
      <c r="B56" s="2">
        <v>44941</v>
      </c>
      <c r="C56" t="s">
        <v>14</v>
      </c>
      <c r="D56" t="s">
        <v>15</v>
      </c>
      <c r="E56">
        <v>289.52999999999997</v>
      </c>
      <c r="F56">
        <v>6</v>
      </c>
      <c r="G56" t="s">
        <v>26</v>
      </c>
      <c r="H56">
        <v>2594.42</v>
      </c>
      <c r="I56">
        <v>3081.04</v>
      </c>
      <c r="J56" t="s">
        <v>17</v>
      </c>
      <c r="K56">
        <v>0.1</v>
      </c>
      <c r="L56" t="s">
        <v>27</v>
      </c>
      <c r="M56" t="s">
        <v>28</v>
      </c>
      <c r="N56" t="s">
        <v>20</v>
      </c>
      <c r="O56" s="6">
        <f>SalesMaster[[#This Row],[Sales_Amount]]*SalesMaster[[#This Row],[Quantity_Sold]]</f>
        <v>1737.1799999999998</v>
      </c>
      <c r="P56" s="6">
        <f>SalesMaster[[#This Row],[Quantity_Sold]]*SalesMaster[[#This Row],[Unit_Cost]]</f>
        <v>15566.52</v>
      </c>
      <c r="Q56" s="6">
        <f>SalesMaster[[#This Row],[Total_Sales]]-SalesMaster[[#This Row],[Total_Cost]]</f>
        <v>-13829.34</v>
      </c>
      <c r="R56" s="1">
        <f>IFERROR(SalesMaster[Net Profit]/SalesMaster[Total_Sales], 0)</f>
        <v>-7.960798535557629</v>
      </c>
      <c r="S56" t="str">
        <f>TEXT(SalesMaster[[#This Row],[Sale_Date]], "mmm")</f>
        <v>Jan</v>
      </c>
      <c r="T56" s="6" t="str">
        <f>IF(SalesMaster[Profit_Margin]&gt;=0.15, "Excellent", IF(SalesMaster[Profit_Margin]&gt;=0.05, "Average", "Needs Improvement"))</f>
        <v>Needs Improvement</v>
      </c>
    </row>
    <row r="57" spans="1:20">
      <c r="A57">
        <v>1094</v>
      </c>
      <c r="B57" s="2">
        <v>44941</v>
      </c>
      <c r="C57" t="s">
        <v>35</v>
      </c>
      <c r="D57" t="s">
        <v>15</v>
      </c>
      <c r="E57">
        <v>8872.33</v>
      </c>
      <c r="F57">
        <v>45</v>
      </c>
      <c r="G57" t="s">
        <v>26</v>
      </c>
      <c r="H57">
        <v>4470.91</v>
      </c>
      <c r="I57">
        <v>4695.54</v>
      </c>
      <c r="J57" t="s">
        <v>17</v>
      </c>
      <c r="K57">
        <v>0.06</v>
      </c>
      <c r="L57" t="s">
        <v>18</v>
      </c>
      <c r="M57" t="s">
        <v>28</v>
      </c>
      <c r="N57" t="s">
        <v>44</v>
      </c>
      <c r="O57" s="6">
        <f>SalesMaster[[#This Row],[Sales_Amount]]*SalesMaster[[#This Row],[Quantity_Sold]]</f>
        <v>399254.85</v>
      </c>
      <c r="P57" s="6">
        <f>SalesMaster[[#This Row],[Quantity_Sold]]*SalesMaster[[#This Row],[Unit_Cost]]</f>
        <v>201190.94999999998</v>
      </c>
      <c r="Q57" s="6">
        <f>SalesMaster[[#This Row],[Total_Sales]]-SalesMaster[[#This Row],[Total_Cost]]</f>
        <v>198063.9</v>
      </c>
      <c r="R57" s="1">
        <f>IFERROR(SalesMaster[Net Profit]/SalesMaster[Total_Sales], 0)</f>
        <v>0.49608389228083266</v>
      </c>
      <c r="S57" t="str">
        <f>TEXT(SalesMaster[[#This Row],[Sale_Date]], "mmm")</f>
        <v>Jan</v>
      </c>
      <c r="T57" s="6" t="str">
        <f>IF(SalesMaster[Profit_Margin]&gt;=0.15, "Excellent", IF(SalesMaster[Profit_Margin]&gt;=0.05, "Average", "Needs Improvement"))</f>
        <v>Excellent</v>
      </c>
    </row>
    <row r="58" spans="1:20">
      <c r="A58">
        <v>1034</v>
      </c>
      <c r="B58" s="2">
        <v>44942</v>
      </c>
      <c r="C58" t="s">
        <v>42</v>
      </c>
      <c r="D58" t="s">
        <v>15</v>
      </c>
      <c r="E58">
        <v>1937.9</v>
      </c>
      <c r="F58">
        <v>13</v>
      </c>
      <c r="G58" t="s">
        <v>26</v>
      </c>
      <c r="H58">
        <v>366.31</v>
      </c>
      <c r="I58">
        <v>492.68</v>
      </c>
      <c r="J58" t="s">
        <v>22</v>
      </c>
      <c r="K58">
        <v>0.12</v>
      </c>
      <c r="L58" t="s">
        <v>23</v>
      </c>
      <c r="M58" t="s">
        <v>28</v>
      </c>
      <c r="N58" t="s">
        <v>47</v>
      </c>
      <c r="O58" s="6">
        <f>SalesMaster[[#This Row],[Sales_Amount]]*SalesMaster[[#This Row],[Quantity_Sold]]</f>
        <v>25192.7</v>
      </c>
      <c r="P58" s="6">
        <f>SalesMaster[[#This Row],[Quantity_Sold]]*SalesMaster[[#This Row],[Unit_Cost]]</f>
        <v>4762.03</v>
      </c>
      <c r="Q58" s="6">
        <f>SalesMaster[[#This Row],[Total_Sales]]-SalesMaster[[#This Row],[Total_Cost]]</f>
        <v>20430.670000000002</v>
      </c>
      <c r="R58" s="1">
        <f>IFERROR(SalesMaster[Net Profit]/SalesMaster[Total_Sales], 0)</f>
        <v>0.81097579854481661</v>
      </c>
      <c r="S58" t="str">
        <f>TEXT(SalesMaster[[#This Row],[Sale_Date]], "mmm")</f>
        <v>Jan</v>
      </c>
      <c r="T58" s="6" t="str">
        <f>IF(SalesMaster[Profit_Margin]&gt;=0.15, "Excellent", IF(SalesMaster[Profit_Margin]&gt;=0.05, "Average", "Needs Improvement"))</f>
        <v>Excellent</v>
      </c>
    </row>
    <row r="59" spans="1:20">
      <c r="A59">
        <v>1013</v>
      </c>
      <c r="B59" s="2">
        <v>44942</v>
      </c>
      <c r="C59" t="s">
        <v>14</v>
      </c>
      <c r="D59" t="s">
        <v>36</v>
      </c>
      <c r="E59">
        <v>6769.09</v>
      </c>
      <c r="F59">
        <v>20</v>
      </c>
      <c r="G59" t="s">
        <v>16</v>
      </c>
      <c r="H59">
        <v>3356.62</v>
      </c>
      <c r="I59">
        <v>3759.0099999999902</v>
      </c>
      <c r="J59" t="s">
        <v>17</v>
      </c>
      <c r="K59">
        <v>0.05</v>
      </c>
      <c r="L59" t="s">
        <v>23</v>
      </c>
      <c r="M59" t="s">
        <v>28</v>
      </c>
      <c r="N59" t="s">
        <v>39</v>
      </c>
      <c r="O59" s="6">
        <f>SalesMaster[[#This Row],[Sales_Amount]]*SalesMaster[[#This Row],[Quantity_Sold]]</f>
        <v>135381.79999999999</v>
      </c>
      <c r="P59" s="6">
        <f>SalesMaster[[#This Row],[Quantity_Sold]]*SalesMaster[[#This Row],[Unit_Cost]]</f>
        <v>67132.399999999994</v>
      </c>
      <c r="Q59" s="6">
        <f>SalesMaster[[#This Row],[Total_Sales]]-SalesMaster[[#This Row],[Total_Cost]]</f>
        <v>68249.399999999994</v>
      </c>
      <c r="R59" s="1">
        <f>IFERROR(SalesMaster[Net Profit]/SalesMaster[Total_Sales], 0)</f>
        <v>0.5041253698798509</v>
      </c>
      <c r="S59" t="str">
        <f>TEXT(SalesMaster[[#This Row],[Sale_Date]], "mmm")</f>
        <v>Jan</v>
      </c>
      <c r="T59" s="6" t="str">
        <f>IF(SalesMaster[Profit_Margin]&gt;=0.15, "Excellent", IF(SalesMaster[Profit_Margin]&gt;=0.05, "Average", "Needs Improvement"))</f>
        <v>Excellent</v>
      </c>
    </row>
    <row r="60" spans="1:20">
      <c r="A60">
        <v>1080</v>
      </c>
      <c r="B60" s="2">
        <v>44943</v>
      </c>
      <c r="C60" t="s">
        <v>35</v>
      </c>
      <c r="D60" t="s">
        <v>25</v>
      </c>
      <c r="E60">
        <v>4224</v>
      </c>
      <c r="F60">
        <v>47</v>
      </c>
      <c r="G60" t="s">
        <v>26</v>
      </c>
      <c r="H60">
        <v>4035.33</v>
      </c>
      <c r="I60">
        <v>4211.25</v>
      </c>
      <c r="J60" t="s">
        <v>17</v>
      </c>
      <c r="K60">
        <v>7.0000000000000007E-2</v>
      </c>
      <c r="L60" t="s">
        <v>27</v>
      </c>
      <c r="M60" t="s">
        <v>19</v>
      </c>
      <c r="N60" t="s">
        <v>40</v>
      </c>
      <c r="O60" s="6">
        <f>SalesMaster[[#This Row],[Sales_Amount]]*SalesMaster[[#This Row],[Quantity_Sold]]</f>
        <v>198528</v>
      </c>
      <c r="P60" s="6">
        <f>SalesMaster[[#This Row],[Quantity_Sold]]*SalesMaster[[#This Row],[Unit_Cost]]</f>
        <v>189660.51</v>
      </c>
      <c r="Q60" s="6">
        <f>SalesMaster[[#This Row],[Total_Sales]]-SalesMaster[[#This Row],[Total_Cost]]</f>
        <v>8867.4899999999907</v>
      </c>
      <c r="R60" s="1">
        <f>IFERROR(SalesMaster[Net Profit]/SalesMaster[Total_Sales], 0)</f>
        <v>4.4666193181818137E-2</v>
      </c>
      <c r="S60" t="str">
        <f>TEXT(SalesMaster[[#This Row],[Sale_Date]], "mmm")</f>
        <v>Jan</v>
      </c>
      <c r="T60" s="6" t="str">
        <f>IF(SalesMaster[Profit_Margin]&gt;=0.15, "Excellent", IF(SalesMaster[Profit_Margin]&gt;=0.05, "Average", "Needs Improvement"))</f>
        <v>Needs Improvement</v>
      </c>
    </row>
    <row r="61" spans="1:20">
      <c r="A61">
        <v>1060</v>
      </c>
      <c r="B61" s="2">
        <v>44943</v>
      </c>
      <c r="C61" t="s">
        <v>35</v>
      </c>
      <c r="D61" t="s">
        <v>25</v>
      </c>
      <c r="E61">
        <v>2747.28</v>
      </c>
      <c r="F61">
        <v>3</v>
      </c>
      <c r="G61" t="s">
        <v>31</v>
      </c>
      <c r="H61">
        <v>1190.4100000000001</v>
      </c>
      <c r="I61">
        <v>1582.89</v>
      </c>
      <c r="J61" t="s">
        <v>22</v>
      </c>
      <c r="K61">
        <v>0.02</v>
      </c>
      <c r="L61" t="s">
        <v>23</v>
      </c>
      <c r="M61" t="s">
        <v>28</v>
      </c>
      <c r="N61" t="s">
        <v>40</v>
      </c>
      <c r="O61" s="6">
        <f>SalesMaster[[#This Row],[Sales_Amount]]*SalesMaster[[#This Row],[Quantity_Sold]]</f>
        <v>8241.84</v>
      </c>
      <c r="P61" s="6">
        <f>SalesMaster[[#This Row],[Quantity_Sold]]*SalesMaster[[#This Row],[Unit_Cost]]</f>
        <v>3571.2300000000005</v>
      </c>
      <c r="Q61" s="6">
        <f>SalesMaster[[#This Row],[Total_Sales]]-SalesMaster[[#This Row],[Total_Cost]]</f>
        <v>4670.6099999999997</v>
      </c>
      <c r="R61" s="1">
        <f>IFERROR(SalesMaster[Net Profit]/SalesMaster[Total_Sales], 0)</f>
        <v>0.56669505838502077</v>
      </c>
      <c r="S61" t="str">
        <f>TEXT(SalesMaster[[#This Row],[Sale_Date]], "mmm")</f>
        <v>Jan</v>
      </c>
      <c r="T61" s="6" t="str">
        <f>IF(SalesMaster[Profit_Margin]&gt;=0.15, "Excellent", IF(SalesMaster[Profit_Margin]&gt;=0.05, "Average", "Needs Improvement"))</f>
        <v>Excellent</v>
      </c>
    </row>
    <row r="62" spans="1:20">
      <c r="A62">
        <v>1009</v>
      </c>
      <c r="B62" s="2">
        <v>44943</v>
      </c>
      <c r="C62" t="s">
        <v>30</v>
      </c>
      <c r="D62" t="s">
        <v>33</v>
      </c>
      <c r="E62">
        <v>8401.07</v>
      </c>
      <c r="F62">
        <v>12</v>
      </c>
      <c r="G62" t="s">
        <v>26</v>
      </c>
      <c r="H62">
        <v>2278.67</v>
      </c>
      <c r="I62">
        <v>2476.8000000000002</v>
      </c>
      <c r="J62" t="s">
        <v>22</v>
      </c>
      <c r="K62">
        <v>0.09</v>
      </c>
      <c r="L62" t="s">
        <v>18</v>
      </c>
      <c r="M62" t="s">
        <v>28</v>
      </c>
      <c r="N62" t="s">
        <v>34</v>
      </c>
      <c r="O62" s="6">
        <f>SalesMaster[[#This Row],[Sales_Amount]]*SalesMaster[[#This Row],[Quantity_Sold]]</f>
        <v>100812.84</v>
      </c>
      <c r="P62" s="6">
        <f>SalesMaster[[#This Row],[Quantity_Sold]]*SalesMaster[[#This Row],[Unit_Cost]]</f>
        <v>27344.04</v>
      </c>
      <c r="Q62" s="6">
        <f>SalesMaster[[#This Row],[Total_Sales]]-SalesMaster[[#This Row],[Total_Cost]]</f>
        <v>73468.799999999988</v>
      </c>
      <c r="R62" s="1">
        <f>IFERROR(SalesMaster[Net Profit]/SalesMaster[Total_Sales], 0)</f>
        <v>0.72876431216499793</v>
      </c>
      <c r="S62" t="str">
        <f>TEXT(SalesMaster[[#This Row],[Sale_Date]], "mmm")</f>
        <v>Jan</v>
      </c>
      <c r="T62" s="6" t="str">
        <f>IF(SalesMaster[Profit_Margin]&gt;=0.15, "Excellent", IF(SalesMaster[Profit_Margin]&gt;=0.05, "Average", "Needs Improvement"))</f>
        <v>Excellent</v>
      </c>
    </row>
    <row r="63" spans="1:20">
      <c r="A63">
        <v>1016</v>
      </c>
      <c r="B63" s="2">
        <v>44943</v>
      </c>
      <c r="C63" t="s">
        <v>14</v>
      </c>
      <c r="D63" t="s">
        <v>33</v>
      </c>
      <c r="E63">
        <v>4598.0200000000004</v>
      </c>
      <c r="F63">
        <v>21</v>
      </c>
      <c r="G63" t="s">
        <v>31</v>
      </c>
      <c r="H63">
        <v>2863.74</v>
      </c>
      <c r="I63">
        <v>2953.91</v>
      </c>
      <c r="J63" t="s">
        <v>22</v>
      </c>
      <c r="K63">
        <v>0.1</v>
      </c>
      <c r="L63" t="s">
        <v>27</v>
      </c>
      <c r="M63" t="s">
        <v>28</v>
      </c>
      <c r="N63" t="s">
        <v>45</v>
      </c>
      <c r="O63" s="6">
        <f>SalesMaster[[#This Row],[Sales_Amount]]*SalesMaster[[#This Row],[Quantity_Sold]]</f>
        <v>96558.420000000013</v>
      </c>
      <c r="P63" s="6">
        <f>SalesMaster[[#This Row],[Quantity_Sold]]*SalesMaster[[#This Row],[Unit_Cost]]</f>
        <v>60138.539999999994</v>
      </c>
      <c r="Q63" s="6">
        <f>SalesMaster[[#This Row],[Total_Sales]]-SalesMaster[[#This Row],[Total_Cost]]</f>
        <v>36419.880000000019</v>
      </c>
      <c r="R63" s="1">
        <f>IFERROR(SalesMaster[Net Profit]/SalesMaster[Total_Sales], 0)</f>
        <v>0.37717974258485187</v>
      </c>
      <c r="S63" t="str">
        <f>TEXT(SalesMaster[[#This Row],[Sale_Date]], "mmm")</f>
        <v>Jan</v>
      </c>
      <c r="T63" s="6" t="str">
        <f>IF(SalesMaster[Profit_Margin]&gt;=0.15, "Excellent", IF(SalesMaster[Profit_Margin]&gt;=0.05, "Average", "Needs Improvement"))</f>
        <v>Excellent</v>
      </c>
    </row>
    <row r="64" spans="1:20">
      <c r="A64">
        <v>1076</v>
      </c>
      <c r="B64" s="2">
        <v>44943</v>
      </c>
      <c r="C64" t="s">
        <v>21</v>
      </c>
      <c r="D64" t="s">
        <v>25</v>
      </c>
      <c r="E64">
        <v>8464.23</v>
      </c>
      <c r="F64">
        <v>16</v>
      </c>
      <c r="G64" t="s">
        <v>16</v>
      </c>
      <c r="H64">
        <v>1964.15</v>
      </c>
      <c r="I64">
        <v>2211.17</v>
      </c>
      <c r="J64" t="s">
        <v>17</v>
      </c>
      <c r="K64">
        <v>0.21</v>
      </c>
      <c r="L64" t="s">
        <v>27</v>
      </c>
      <c r="M64" t="s">
        <v>19</v>
      </c>
      <c r="N64" t="s">
        <v>51</v>
      </c>
      <c r="O64" s="6">
        <f>SalesMaster[[#This Row],[Sales_Amount]]*SalesMaster[[#This Row],[Quantity_Sold]]</f>
        <v>135427.68</v>
      </c>
      <c r="P64" s="6">
        <f>SalesMaster[[#This Row],[Quantity_Sold]]*SalesMaster[[#This Row],[Unit_Cost]]</f>
        <v>31426.400000000001</v>
      </c>
      <c r="Q64" s="6">
        <f>SalesMaster[[#This Row],[Total_Sales]]-SalesMaster[[#This Row],[Total_Cost]]</f>
        <v>104001.28</v>
      </c>
      <c r="R64" s="1">
        <f>IFERROR(SalesMaster[Net Profit]/SalesMaster[Total_Sales], 0)</f>
        <v>0.76794699576925485</v>
      </c>
      <c r="S64" t="str">
        <f>TEXT(SalesMaster[[#This Row],[Sale_Date]], "mmm")</f>
        <v>Jan</v>
      </c>
      <c r="T64" s="6" t="str">
        <f>IF(SalesMaster[Profit_Margin]&gt;=0.15, "Excellent", IF(SalesMaster[Profit_Margin]&gt;=0.05, "Average", "Needs Improvement"))</f>
        <v>Excellent</v>
      </c>
    </row>
    <row r="65" spans="1:20">
      <c r="A65">
        <v>1029</v>
      </c>
      <c r="B65" s="2">
        <v>44943</v>
      </c>
      <c r="C65" t="s">
        <v>21</v>
      </c>
      <c r="D65" t="s">
        <v>15</v>
      </c>
      <c r="E65">
        <v>6275.06</v>
      </c>
      <c r="F65">
        <v>31</v>
      </c>
      <c r="G65" t="s">
        <v>31</v>
      </c>
      <c r="H65">
        <v>2719</v>
      </c>
      <c r="I65">
        <v>3133.55</v>
      </c>
      <c r="J65" t="s">
        <v>17</v>
      </c>
      <c r="K65">
        <v>0.17</v>
      </c>
      <c r="L65" t="s">
        <v>27</v>
      </c>
      <c r="M65" t="s">
        <v>28</v>
      </c>
      <c r="N65" t="s">
        <v>24</v>
      </c>
      <c r="O65" s="6">
        <f>SalesMaster[[#This Row],[Sales_Amount]]*SalesMaster[[#This Row],[Quantity_Sold]]</f>
        <v>194526.86000000002</v>
      </c>
      <c r="P65" s="6">
        <f>SalesMaster[[#This Row],[Quantity_Sold]]*SalesMaster[[#This Row],[Unit_Cost]]</f>
        <v>84289</v>
      </c>
      <c r="Q65" s="6">
        <f>SalesMaster[[#This Row],[Total_Sales]]-SalesMaster[[#This Row],[Total_Cost]]</f>
        <v>110237.86000000002</v>
      </c>
      <c r="R65" s="1">
        <f>IFERROR(SalesMaster[Net Profit]/SalesMaster[Total_Sales], 0)</f>
        <v>0.56669737022434852</v>
      </c>
      <c r="S65" t="str">
        <f>TEXT(SalesMaster[[#This Row],[Sale_Date]], "mmm")</f>
        <v>Jan</v>
      </c>
      <c r="T65" s="6" t="str">
        <f>IF(SalesMaster[Profit_Margin]&gt;=0.15, "Excellent", IF(SalesMaster[Profit_Margin]&gt;=0.05, "Average", "Needs Improvement"))</f>
        <v>Excellent</v>
      </c>
    </row>
    <row r="66" spans="1:20">
      <c r="A66">
        <v>1080</v>
      </c>
      <c r="B66" s="2">
        <v>44944</v>
      </c>
      <c r="C66" t="s">
        <v>21</v>
      </c>
      <c r="D66" t="s">
        <v>36</v>
      </c>
      <c r="E66">
        <v>5138.0200000000004</v>
      </c>
      <c r="F66">
        <v>44</v>
      </c>
      <c r="G66" t="s">
        <v>31</v>
      </c>
      <c r="H66">
        <v>1763.67</v>
      </c>
      <c r="I66">
        <v>1983.82</v>
      </c>
      <c r="J66" t="s">
        <v>22</v>
      </c>
      <c r="K66">
        <v>0.24</v>
      </c>
      <c r="L66" t="s">
        <v>23</v>
      </c>
      <c r="M66" t="s">
        <v>19</v>
      </c>
      <c r="N66" t="s">
        <v>38</v>
      </c>
      <c r="O66" s="6">
        <f>SalesMaster[[#This Row],[Sales_Amount]]*SalesMaster[[#This Row],[Quantity_Sold]]</f>
        <v>226072.88</v>
      </c>
      <c r="P66" s="6">
        <f>SalesMaster[[#This Row],[Quantity_Sold]]*SalesMaster[[#This Row],[Unit_Cost]]</f>
        <v>77601.48000000001</v>
      </c>
      <c r="Q66" s="6">
        <f>SalesMaster[[#This Row],[Total_Sales]]-SalesMaster[[#This Row],[Total_Cost]]</f>
        <v>148471.4</v>
      </c>
      <c r="R66" s="1">
        <f>IFERROR(SalesMaster[Net Profit]/SalesMaster[Total_Sales], 0)</f>
        <v>0.65674131280142933</v>
      </c>
      <c r="S66" t="str">
        <f>TEXT(SalesMaster[[#This Row],[Sale_Date]], "mmm")</f>
        <v>Jan</v>
      </c>
      <c r="T66" s="6" t="str">
        <f>IF(SalesMaster[Profit_Margin]&gt;=0.15, "Excellent", IF(SalesMaster[Profit_Margin]&gt;=0.05, "Average", "Needs Improvement"))</f>
        <v>Excellent</v>
      </c>
    </row>
    <row r="67" spans="1:20">
      <c r="A67">
        <v>1048</v>
      </c>
      <c r="B67" s="2">
        <v>44945</v>
      </c>
      <c r="C67" t="s">
        <v>35</v>
      </c>
      <c r="D67" t="s">
        <v>33</v>
      </c>
      <c r="E67">
        <v>5187.16</v>
      </c>
      <c r="F67">
        <v>7</v>
      </c>
      <c r="G67" t="s">
        <v>16</v>
      </c>
      <c r="H67">
        <v>4310.95</v>
      </c>
      <c r="I67">
        <v>4723.2</v>
      </c>
      <c r="J67" t="s">
        <v>17</v>
      </c>
      <c r="K67">
        <v>0.05</v>
      </c>
      <c r="L67" t="s">
        <v>23</v>
      </c>
      <c r="M67" t="s">
        <v>28</v>
      </c>
      <c r="N67" t="s">
        <v>52</v>
      </c>
      <c r="O67" s="6">
        <f>SalesMaster[[#This Row],[Sales_Amount]]*SalesMaster[[#This Row],[Quantity_Sold]]</f>
        <v>36310.119999999995</v>
      </c>
      <c r="P67" s="6">
        <f>SalesMaster[[#This Row],[Quantity_Sold]]*SalesMaster[[#This Row],[Unit_Cost]]</f>
        <v>30176.649999999998</v>
      </c>
      <c r="Q67" s="6">
        <f>SalesMaster[[#This Row],[Total_Sales]]-SalesMaster[[#This Row],[Total_Cost]]</f>
        <v>6133.4699999999975</v>
      </c>
      <c r="R67" s="1">
        <f>IFERROR(SalesMaster[Net Profit]/SalesMaster[Total_Sales], 0)</f>
        <v>0.16891902312633497</v>
      </c>
      <c r="S67" t="str">
        <f>TEXT(SalesMaster[[#This Row],[Sale_Date]], "mmm")</f>
        <v>Jan</v>
      </c>
      <c r="T67" s="6" t="str">
        <f>IF(SalesMaster[Profit_Margin]&gt;=0.15, "Excellent", IF(SalesMaster[Profit_Margin]&gt;=0.05, "Average", "Needs Improvement"))</f>
        <v>Excellent</v>
      </c>
    </row>
    <row r="68" spans="1:20">
      <c r="A68">
        <v>1092</v>
      </c>
      <c r="B68" s="2">
        <v>44946</v>
      </c>
      <c r="C68" t="s">
        <v>21</v>
      </c>
      <c r="D68" t="s">
        <v>36</v>
      </c>
      <c r="E68">
        <v>2729.27</v>
      </c>
      <c r="F68">
        <v>40</v>
      </c>
      <c r="G68" t="s">
        <v>31</v>
      </c>
      <c r="H68">
        <v>4624.16</v>
      </c>
      <c r="I68">
        <v>4731.9799999999996</v>
      </c>
      <c r="J68" t="s">
        <v>22</v>
      </c>
      <c r="K68">
        <v>0.2</v>
      </c>
      <c r="L68" t="s">
        <v>27</v>
      </c>
      <c r="M68" t="s">
        <v>28</v>
      </c>
      <c r="N68" t="s">
        <v>38</v>
      </c>
      <c r="O68" s="6">
        <f>SalesMaster[[#This Row],[Sales_Amount]]*SalesMaster[[#This Row],[Quantity_Sold]]</f>
        <v>109170.8</v>
      </c>
      <c r="P68" s="6">
        <f>SalesMaster[[#This Row],[Quantity_Sold]]*SalesMaster[[#This Row],[Unit_Cost]]</f>
        <v>184966.39999999999</v>
      </c>
      <c r="Q68" s="6">
        <f>SalesMaster[[#This Row],[Total_Sales]]-SalesMaster[[#This Row],[Total_Cost]]</f>
        <v>-75795.599999999991</v>
      </c>
      <c r="R68" s="1">
        <f>IFERROR(SalesMaster[Net Profit]/SalesMaster[Total_Sales], 0)</f>
        <v>-0.69428455227954722</v>
      </c>
      <c r="S68" t="str">
        <f>TEXT(SalesMaster[[#This Row],[Sale_Date]], "mmm")</f>
        <v>Jan</v>
      </c>
      <c r="T68" s="6" t="str">
        <f>IF(SalesMaster[Profit_Margin]&gt;=0.15, "Excellent", IF(SalesMaster[Profit_Margin]&gt;=0.05, "Average", "Needs Improvement"))</f>
        <v>Needs Improvement</v>
      </c>
    </row>
    <row r="69" spans="1:20">
      <c r="A69">
        <v>1046</v>
      </c>
      <c r="B69" s="2">
        <v>44946</v>
      </c>
      <c r="C69" t="s">
        <v>14</v>
      </c>
      <c r="D69" t="s">
        <v>36</v>
      </c>
      <c r="E69">
        <v>4104.82</v>
      </c>
      <c r="F69">
        <v>43</v>
      </c>
      <c r="G69" t="s">
        <v>16</v>
      </c>
      <c r="H69">
        <v>4052.42</v>
      </c>
      <c r="I69">
        <v>4199.3</v>
      </c>
      <c r="J69" t="s">
        <v>22</v>
      </c>
      <c r="K69">
        <v>0.1</v>
      </c>
      <c r="L69" t="s">
        <v>27</v>
      </c>
      <c r="M69" t="s">
        <v>28</v>
      </c>
      <c r="N69" t="s">
        <v>39</v>
      </c>
      <c r="O69" s="6">
        <f>SalesMaster[[#This Row],[Sales_Amount]]*SalesMaster[[#This Row],[Quantity_Sold]]</f>
        <v>176507.25999999998</v>
      </c>
      <c r="P69" s="6">
        <f>SalesMaster[[#This Row],[Quantity_Sold]]*SalesMaster[[#This Row],[Unit_Cost]]</f>
        <v>174254.06</v>
      </c>
      <c r="Q69" s="6">
        <f>SalesMaster[[#This Row],[Total_Sales]]-SalesMaster[[#This Row],[Total_Cost]]</f>
        <v>2253.1999999999825</v>
      </c>
      <c r="R69" s="1">
        <f>IFERROR(SalesMaster[Net Profit]/SalesMaster[Total_Sales], 0)</f>
        <v>1.2765480581365224E-2</v>
      </c>
      <c r="S69" t="str">
        <f>TEXT(SalesMaster[[#This Row],[Sale_Date]], "mmm")</f>
        <v>Jan</v>
      </c>
      <c r="T69" s="6" t="str">
        <f>IF(SalesMaster[Profit_Margin]&gt;=0.15, "Excellent", IF(SalesMaster[Profit_Margin]&gt;=0.05, "Average", "Needs Improvement"))</f>
        <v>Needs Improvement</v>
      </c>
    </row>
    <row r="70" spans="1:20">
      <c r="A70">
        <v>1053</v>
      </c>
      <c r="B70" s="2">
        <v>44946</v>
      </c>
      <c r="C70" t="s">
        <v>30</v>
      </c>
      <c r="D70" t="s">
        <v>33</v>
      </c>
      <c r="E70">
        <v>8785.77</v>
      </c>
      <c r="F70">
        <v>42</v>
      </c>
      <c r="G70" t="s">
        <v>26</v>
      </c>
      <c r="H70">
        <v>2443.5700000000002</v>
      </c>
      <c r="I70">
        <v>2943.31</v>
      </c>
      <c r="J70" t="s">
        <v>22</v>
      </c>
      <c r="K70">
        <v>0.28999999999999998</v>
      </c>
      <c r="L70" t="s">
        <v>18</v>
      </c>
      <c r="M70" t="s">
        <v>19</v>
      </c>
      <c r="N70" t="s">
        <v>34</v>
      </c>
      <c r="O70" s="6">
        <f>SalesMaster[[#This Row],[Sales_Amount]]*SalesMaster[[#This Row],[Quantity_Sold]]</f>
        <v>369002.34</v>
      </c>
      <c r="P70" s="6">
        <f>SalesMaster[[#This Row],[Quantity_Sold]]*SalesMaster[[#This Row],[Unit_Cost]]</f>
        <v>102629.94</v>
      </c>
      <c r="Q70" s="6">
        <f>SalesMaster[[#This Row],[Total_Sales]]-SalesMaster[[#This Row],[Total_Cost]]</f>
        <v>266372.40000000002</v>
      </c>
      <c r="R70" s="1">
        <f>IFERROR(SalesMaster[Net Profit]/SalesMaster[Total_Sales], 0)</f>
        <v>0.72187184504033231</v>
      </c>
      <c r="S70" t="str">
        <f>TEXT(SalesMaster[[#This Row],[Sale_Date]], "mmm")</f>
        <v>Jan</v>
      </c>
      <c r="T70" s="6" t="str">
        <f>IF(SalesMaster[Profit_Margin]&gt;=0.15, "Excellent", IF(SalesMaster[Profit_Margin]&gt;=0.05, "Average", "Needs Improvement"))</f>
        <v>Excellent</v>
      </c>
    </row>
    <row r="71" spans="1:20">
      <c r="A71">
        <v>1017</v>
      </c>
      <c r="B71" s="2">
        <v>44946</v>
      </c>
      <c r="C71" t="s">
        <v>35</v>
      </c>
      <c r="D71" t="s">
        <v>36</v>
      </c>
      <c r="E71">
        <v>496.59</v>
      </c>
      <c r="F71">
        <v>29</v>
      </c>
      <c r="G71" t="s">
        <v>16</v>
      </c>
      <c r="H71">
        <v>3410.49</v>
      </c>
      <c r="I71">
        <v>3481.72</v>
      </c>
      <c r="J71" t="s">
        <v>22</v>
      </c>
      <c r="K71">
        <v>0.24</v>
      </c>
      <c r="L71" t="s">
        <v>27</v>
      </c>
      <c r="M71" t="s">
        <v>28</v>
      </c>
      <c r="N71" t="s">
        <v>37</v>
      </c>
      <c r="O71" s="6">
        <f>SalesMaster[[#This Row],[Sales_Amount]]*SalesMaster[[#This Row],[Quantity_Sold]]</f>
        <v>14401.109999999999</v>
      </c>
      <c r="P71" s="6">
        <f>SalesMaster[[#This Row],[Quantity_Sold]]*SalesMaster[[#This Row],[Unit_Cost]]</f>
        <v>98904.209999999992</v>
      </c>
      <c r="Q71" s="6">
        <f>SalesMaster[[#This Row],[Total_Sales]]-SalesMaster[[#This Row],[Total_Cost]]</f>
        <v>-84503.099999999991</v>
      </c>
      <c r="R71" s="1">
        <f>IFERROR(SalesMaster[Net Profit]/SalesMaster[Total_Sales], 0)</f>
        <v>-5.8678185223222377</v>
      </c>
      <c r="S71" t="str">
        <f>TEXT(SalesMaster[[#This Row],[Sale_Date]], "mmm")</f>
        <v>Jan</v>
      </c>
      <c r="T71" s="6" t="str">
        <f>IF(SalesMaster[Profit_Margin]&gt;=0.15, "Excellent", IF(SalesMaster[Profit_Margin]&gt;=0.05, "Average", "Needs Improvement"))</f>
        <v>Needs Improvement</v>
      </c>
    </row>
    <row r="72" spans="1:20">
      <c r="A72">
        <v>1003</v>
      </c>
      <c r="B72" s="2">
        <v>44947</v>
      </c>
      <c r="C72" t="s">
        <v>21</v>
      </c>
      <c r="D72" t="s">
        <v>15</v>
      </c>
      <c r="E72">
        <v>6395.81</v>
      </c>
      <c r="F72">
        <v>3</v>
      </c>
      <c r="G72" t="s">
        <v>26</v>
      </c>
      <c r="H72">
        <v>1792.05</v>
      </c>
      <c r="I72">
        <v>2091.23</v>
      </c>
      <c r="J72" t="s">
        <v>17</v>
      </c>
      <c r="K72">
        <v>0.09</v>
      </c>
      <c r="L72" t="s">
        <v>18</v>
      </c>
      <c r="M72" t="s">
        <v>28</v>
      </c>
      <c r="N72" t="s">
        <v>24</v>
      </c>
      <c r="O72" s="6">
        <f>SalesMaster[[#This Row],[Sales_Amount]]*SalesMaster[[#This Row],[Quantity_Sold]]</f>
        <v>19187.43</v>
      </c>
      <c r="P72" s="6">
        <f>SalesMaster[[#This Row],[Quantity_Sold]]*SalesMaster[[#This Row],[Unit_Cost]]</f>
        <v>5376.15</v>
      </c>
      <c r="Q72" s="6">
        <f>SalesMaster[[#This Row],[Total_Sales]]-SalesMaster[[#This Row],[Total_Cost]]</f>
        <v>13811.28</v>
      </c>
      <c r="R72" s="1">
        <f>IFERROR(SalesMaster[Net Profit]/SalesMaster[Total_Sales], 0)</f>
        <v>0.71980874979087872</v>
      </c>
      <c r="S72" t="str">
        <f>TEXT(SalesMaster[[#This Row],[Sale_Date]], "mmm")</f>
        <v>Jan</v>
      </c>
      <c r="T72" s="6" t="str">
        <f>IF(SalesMaster[Profit_Margin]&gt;=0.15, "Excellent", IF(SalesMaster[Profit_Margin]&gt;=0.05, "Average", "Needs Improvement"))</f>
        <v>Excellent</v>
      </c>
    </row>
    <row r="73" spans="1:20">
      <c r="A73">
        <v>1035</v>
      </c>
      <c r="B73" s="2">
        <v>44948</v>
      </c>
      <c r="C73" t="s">
        <v>42</v>
      </c>
      <c r="D73" t="s">
        <v>15</v>
      </c>
      <c r="E73">
        <v>8387.48</v>
      </c>
      <c r="F73">
        <v>28</v>
      </c>
      <c r="G73" t="s">
        <v>26</v>
      </c>
      <c r="H73">
        <v>3771.38</v>
      </c>
      <c r="I73">
        <v>4234.92</v>
      </c>
      <c r="J73" t="s">
        <v>22</v>
      </c>
      <c r="K73">
        <v>0.28000000000000003</v>
      </c>
      <c r="L73" t="s">
        <v>23</v>
      </c>
      <c r="M73" t="s">
        <v>28</v>
      </c>
      <c r="N73" t="s">
        <v>47</v>
      </c>
      <c r="O73" s="6">
        <f>SalesMaster[[#This Row],[Sales_Amount]]*SalesMaster[[#This Row],[Quantity_Sold]]</f>
        <v>234849.44</v>
      </c>
      <c r="P73" s="6">
        <f>SalesMaster[[#This Row],[Quantity_Sold]]*SalesMaster[[#This Row],[Unit_Cost]]</f>
        <v>105598.64</v>
      </c>
      <c r="Q73" s="6">
        <f>SalesMaster[[#This Row],[Total_Sales]]-SalesMaster[[#This Row],[Total_Cost]]</f>
        <v>129250.8</v>
      </c>
      <c r="R73" s="1">
        <f>IFERROR(SalesMaster[Net Profit]/SalesMaster[Total_Sales], 0)</f>
        <v>0.5503560068101504</v>
      </c>
      <c r="S73" t="str">
        <f>TEXT(SalesMaster[[#This Row],[Sale_Date]], "mmm")</f>
        <v>Jan</v>
      </c>
      <c r="T73" s="6" t="str">
        <f>IF(SalesMaster[Profit_Margin]&gt;=0.15, "Excellent", IF(SalesMaster[Profit_Margin]&gt;=0.05, "Average", "Needs Improvement"))</f>
        <v>Excellent</v>
      </c>
    </row>
    <row r="74" spans="1:20">
      <c r="A74">
        <v>1006</v>
      </c>
      <c r="B74" s="2">
        <v>44948</v>
      </c>
      <c r="C74" t="s">
        <v>42</v>
      </c>
      <c r="D74" t="s">
        <v>25</v>
      </c>
      <c r="E74">
        <v>5053.5600000000004</v>
      </c>
      <c r="F74">
        <v>29</v>
      </c>
      <c r="G74" t="s">
        <v>31</v>
      </c>
      <c r="H74">
        <v>4353.29</v>
      </c>
      <c r="I74">
        <v>4405.8</v>
      </c>
      <c r="J74" t="s">
        <v>22</v>
      </c>
      <c r="K74">
        <v>0.04</v>
      </c>
      <c r="L74" t="s">
        <v>27</v>
      </c>
      <c r="M74" t="s">
        <v>19</v>
      </c>
      <c r="N74" t="s">
        <v>49</v>
      </c>
      <c r="O74" s="6">
        <f>SalesMaster[[#This Row],[Sales_Amount]]*SalesMaster[[#This Row],[Quantity_Sold]]</f>
        <v>146553.24000000002</v>
      </c>
      <c r="P74" s="6">
        <f>SalesMaster[[#This Row],[Quantity_Sold]]*SalesMaster[[#This Row],[Unit_Cost]]</f>
        <v>126245.41</v>
      </c>
      <c r="Q74" s="6">
        <f>SalesMaster[[#This Row],[Total_Sales]]-SalesMaster[[#This Row],[Total_Cost]]</f>
        <v>20307.830000000016</v>
      </c>
      <c r="R74" s="1">
        <f>IFERROR(SalesMaster[Net Profit]/SalesMaster[Total_Sales], 0)</f>
        <v>0.1385696419949502</v>
      </c>
      <c r="S74" t="str">
        <f>TEXT(SalesMaster[[#This Row],[Sale_Date]], "mmm")</f>
        <v>Jan</v>
      </c>
      <c r="T74" s="6" t="str">
        <f>IF(SalesMaster[Profit_Margin]&gt;=0.15, "Excellent", IF(SalesMaster[Profit_Margin]&gt;=0.05, "Average", "Needs Improvement"))</f>
        <v>Average</v>
      </c>
    </row>
    <row r="75" spans="1:20">
      <c r="A75">
        <v>1045</v>
      </c>
      <c r="B75" s="2">
        <v>44948</v>
      </c>
      <c r="C75" t="s">
        <v>35</v>
      </c>
      <c r="D75" t="s">
        <v>36</v>
      </c>
      <c r="E75">
        <v>4594.5</v>
      </c>
      <c r="F75">
        <v>46</v>
      </c>
      <c r="G75" t="s">
        <v>41</v>
      </c>
      <c r="H75">
        <v>2577.08</v>
      </c>
      <c r="I75">
        <v>2961.56</v>
      </c>
      <c r="J75" t="s">
        <v>17</v>
      </c>
      <c r="K75">
        <v>0.1</v>
      </c>
      <c r="L75" t="s">
        <v>18</v>
      </c>
      <c r="M75" t="s">
        <v>19</v>
      </c>
      <c r="N75" t="s">
        <v>37</v>
      </c>
      <c r="O75" s="6">
        <f>SalesMaster[[#This Row],[Sales_Amount]]*SalesMaster[[#This Row],[Quantity_Sold]]</f>
        <v>211347</v>
      </c>
      <c r="P75" s="6">
        <f>SalesMaster[[#This Row],[Quantity_Sold]]*SalesMaster[[#This Row],[Unit_Cost]]</f>
        <v>118545.68</v>
      </c>
      <c r="Q75" s="6">
        <f>SalesMaster[[#This Row],[Total_Sales]]-SalesMaster[[#This Row],[Total_Cost]]</f>
        <v>92801.32</v>
      </c>
      <c r="R75" s="1">
        <f>IFERROR(SalesMaster[Net Profit]/SalesMaster[Total_Sales], 0)</f>
        <v>0.43909456959407989</v>
      </c>
      <c r="S75" t="str">
        <f>TEXT(SalesMaster[[#This Row],[Sale_Date]], "mmm")</f>
        <v>Jan</v>
      </c>
      <c r="T75" s="6" t="str">
        <f>IF(SalesMaster[Profit_Margin]&gt;=0.15, "Excellent", IF(SalesMaster[Profit_Margin]&gt;=0.05, "Average", "Needs Improvement"))</f>
        <v>Excellent</v>
      </c>
    </row>
    <row r="76" spans="1:20">
      <c r="A76">
        <v>1037</v>
      </c>
      <c r="B76" s="2">
        <v>44949</v>
      </c>
      <c r="C76" t="s">
        <v>35</v>
      </c>
      <c r="D76" t="s">
        <v>15</v>
      </c>
      <c r="E76">
        <v>9813.81</v>
      </c>
      <c r="F76">
        <v>40</v>
      </c>
      <c r="G76" t="s">
        <v>16</v>
      </c>
      <c r="H76">
        <v>2790.11</v>
      </c>
      <c r="I76">
        <v>3192.37</v>
      </c>
      <c r="J76" t="s">
        <v>17</v>
      </c>
      <c r="K76">
        <v>0.26</v>
      </c>
      <c r="L76" t="s">
        <v>27</v>
      </c>
      <c r="M76" t="s">
        <v>19</v>
      </c>
      <c r="N76" t="s">
        <v>44</v>
      </c>
      <c r="O76" s="6">
        <f>SalesMaster[[#This Row],[Sales_Amount]]*SalesMaster[[#This Row],[Quantity_Sold]]</f>
        <v>392552.39999999997</v>
      </c>
      <c r="P76" s="6">
        <f>SalesMaster[[#This Row],[Quantity_Sold]]*SalesMaster[[#This Row],[Unit_Cost]]</f>
        <v>111604.40000000001</v>
      </c>
      <c r="Q76" s="6">
        <f>SalesMaster[[#This Row],[Total_Sales]]-SalesMaster[[#This Row],[Total_Cost]]</f>
        <v>280947.99999999994</v>
      </c>
      <c r="R76" s="1">
        <f>IFERROR(SalesMaster[Net Profit]/SalesMaster[Total_Sales], 0)</f>
        <v>0.71569553516931739</v>
      </c>
      <c r="S76" t="str">
        <f>TEXT(SalesMaster[[#This Row],[Sale_Date]], "mmm")</f>
        <v>Jan</v>
      </c>
      <c r="T76" s="6" t="str">
        <f>IF(SalesMaster[Profit_Margin]&gt;=0.15, "Excellent", IF(SalesMaster[Profit_Margin]&gt;=0.05, "Average", "Needs Improvement"))</f>
        <v>Excellent</v>
      </c>
    </row>
    <row r="77" spans="1:20">
      <c r="A77">
        <v>1037</v>
      </c>
      <c r="B77" s="2">
        <v>44949</v>
      </c>
      <c r="C77" t="s">
        <v>21</v>
      </c>
      <c r="D77" t="s">
        <v>36</v>
      </c>
      <c r="E77">
        <v>3649.93</v>
      </c>
      <c r="F77">
        <v>25</v>
      </c>
      <c r="G77" t="s">
        <v>41</v>
      </c>
      <c r="H77">
        <v>1074.6199999999999</v>
      </c>
      <c r="I77">
        <v>1382.4299999999901</v>
      </c>
      <c r="J77" t="s">
        <v>17</v>
      </c>
      <c r="K77">
        <v>0.24</v>
      </c>
      <c r="L77" t="s">
        <v>23</v>
      </c>
      <c r="M77" t="s">
        <v>28</v>
      </c>
      <c r="N77" t="s">
        <v>38</v>
      </c>
      <c r="O77" s="6">
        <f>SalesMaster[[#This Row],[Sales_Amount]]*SalesMaster[[#This Row],[Quantity_Sold]]</f>
        <v>91248.25</v>
      </c>
      <c r="P77" s="6">
        <f>SalesMaster[[#This Row],[Quantity_Sold]]*SalesMaster[[#This Row],[Unit_Cost]]</f>
        <v>26865.499999999996</v>
      </c>
      <c r="Q77" s="6">
        <f>SalesMaster[[#This Row],[Total_Sales]]-SalesMaster[[#This Row],[Total_Cost]]</f>
        <v>64382.75</v>
      </c>
      <c r="R77" s="1">
        <f>IFERROR(SalesMaster[Net Profit]/SalesMaster[Total_Sales], 0)</f>
        <v>0.70557791519289415</v>
      </c>
      <c r="S77" t="str">
        <f>TEXT(SalesMaster[[#This Row],[Sale_Date]], "mmm")</f>
        <v>Jan</v>
      </c>
      <c r="T77" s="6" t="str">
        <f>IF(SalesMaster[Profit_Margin]&gt;=0.15, "Excellent", IF(SalesMaster[Profit_Margin]&gt;=0.05, "Average", "Needs Improvement"))</f>
        <v>Excellent</v>
      </c>
    </row>
    <row r="78" spans="1:20">
      <c r="A78">
        <v>1018</v>
      </c>
      <c r="B78" s="2">
        <v>44949</v>
      </c>
      <c r="C78" t="s">
        <v>30</v>
      </c>
      <c r="D78" t="s">
        <v>15</v>
      </c>
      <c r="E78">
        <v>7019.59</v>
      </c>
      <c r="F78">
        <v>20</v>
      </c>
      <c r="G78" t="s">
        <v>26</v>
      </c>
      <c r="H78">
        <v>1140.6199999999999</v>
      </c>
      <c r="I78">
        <v>1258.6299999999901</v>
      </c>
      <c r="J78" t="s">
        <v>17</v>
      </c>
      <c r="K78">
        <v>0.26</v>
      </c>
      <c r="L78" t="s">
        <v>27</v>
      </c>
      <c r="M78" t="s">
        <v>19</v>
      </c>
      <c r="N78" t="s">
        <v>53</v>
      </c>
      <c r="O78" s="6">
        <f>SalesMaster[[#This Row],[Sales_Amount]]*SalesMaster[[#This Row],[Quantity_Sold]]</f>
        <v>140391.79999999999</v>
      </c>
      <c r="P78" s="6">
        <f>SalesMaster[[#This Row],[Quantity_Sold]]*SalesMaster[[#This Row],[Unit_Cost]]</f>
        <v>22812.399999999998</v>
      </c>
      <c r="Q78" s="6">
        <f>SalesMaster[[#This Row],[Total_Sales]]-SalesMaster[[#This Row],[Total_Cost]]</f>
        <v>117579.4</v>
      </c>
      <c r="R78" s="1">
        <f>IFERROR(SalesMaster[Net Profit]/SalesMaster[Total_Sales], 0)</f>
        <v>0.83750902830507201</v>
      </c>
      <c r="S78" t="str">
        <f>TEXT(SalesMaster[[#This Row],[Sale_Date]], "mmm")</f>
        <v>Jan</v>
      </c>
      <c r="T78" s="6" t="str">
        <f>IF(SalesMaster[Profit_Margin]&gt;=0.15, "Excellent", IF(SalesMaster[Profit_Margin]&gt;=0.05, "Average", "Needs Improvement"))</f>
        <v>Excellent</v>
      </c>
    </row>
    <row r="79" spans="1:20">
      <c r="A79">
        <v>1054</v>
      </c>
      <c r="B79" s="2">
        <v>44950</v>
      </c>
      <c r="C79" t="s">
        <v>35</v>
      </c>
      <c r="D79" t="s">
        <v>36</v>
      </c>
      <c r="E79">
        <v>6624.55</v>
      </c>
      <c r="F79">
        <v>22</v>
      </c>
      <c r="G79" t="s">
        <v>31</v>
      </c>
      <c r="H79">
        <v>4200.08</v>
      </c>
      <c r="I79">
        <v>4647.28</v>
      </c>
      <c r="J79" t="s">
        <v>17</v>
      </c>
      <c r="K79">
        <v>0.11</v>
      </c>
      <c r="L79" t="s">
        <v>18</v>
      </c>
      <c r="M79" t="s">
        <v>19</v>
      </c>
      <c r="N79" t="s">
        <v>37</v>
      </c>
      <c r="O79" s="6">
        <f>SalesMaster[[#This Row],[Sales_Amount]]*SalesMaster[[#This Row],[Quantity_Sold]]</f>
        <v>145740.1</v>
      </c>
      <c r="P79" s="6">
        <f>SalesMaster[[#This Row],[Quantity_Sold]]*SalesMaster[[#This Row],[Unit_Cost]]</f>
        <v>92401.76</v>
      </c>
      <c r="Q79" s="6">
        <f>SalesMaster[[#This Row],[Total_Sales]]-SalesMaster[[#This Row],[Total_Cost]]</f>
        <v>53338.340000000011</v>
      </c>
      <c r="R79" s="1">
        <f>IFERROR(SalesMaster[Net Profit]/SalesMaster[Total_Sales], 0)</f>
        <v>0.36598259504419173</v>
      </c>
      <c r="S79" t="str">
        <f>TEXT(SalesMaster[[#This Row],[Sale_Date]], "mmm")</f>
        <v>Jan</v>
      </c>
      <c r="T79" s="6" t="str">
        <f>IF(SalesMaster[Profit_Margin]&gt;=0.15, "Excellent", IF(SalesMaster[Profit_Margin]&gt;=0.05, "Average", "Needs Improvement"))</f>
        <v>Excellent</v>
      </c>
    </row>
    <row r="80" spans="1:20">
      <c r="A80">
        <v>1017</v>
      </c>
      <c r="B80" s="2">
        <v>44950</v>
      </c>
      <c r="C80" t="s">
        <v>14</v>
      </c>
      <c r="D80" t="s">
        <v>15</v>
      </c>
      <c r="E80">
        <v>4637.3999999999996</v>
      </c>
      <c r="F80">
        <v>27</v>
      </c>
      <c r="G80" t="s">
        <v>31</v>
      </c>
      <c r="H80">
        <v>927.89</v>
      </c>
      <c r="I80">
        <v>1399.09</v>
      </c>
      <c r="J80" t="s">
        <v>17</v>
      </c>
      <c r="K80">
        <v>0.27</v>
      </c>
      <c r="L80" t="s">
        <v>23</v>
      </c>
      <c r="M80" t="s">
        <v>19</v>
      </c>
      <c r="N80" t="s">
        <v>20</v>
      </c>
      <c r="O80" s="6">
        <f>SalesMaster[[#This Row],[Sales_Amount]]*SalesMaster[[#This Row],[Quantity_Sold]]</f>
        <v>125209.79999999999</v>
      </c>
      <c r="P80" s="6">
        <f>SalesMaster[[#This Row],[Quantity_Sold]]*SalesMaster[[#This Row],[Unit_Cost]]</f>
        <v>25053.03</v>
      </c>
      <c r="Q80" s="6">
        <f>SalesMaster[[#This Row],[Total_Sales]]-SalesMaster[[#This Row],[Total_Cost]]</f>
        <v>100156.76999999999</v>
      </c>
      <c r="R80" s="1">
        <f>IFERROR(SalesMaster[Net Profit]/SalesMaster[Total_Sales], 0)</f>
        <v>0.79991158839004617</v>
      </c>
      <c r="S80" t="str">
        <f>TEXT(SalesMaster[[#This Row],[Sale_Date]], "mmm")</f>
        <v>Jan</v>
      </c>
      <c r="T80" s="6" t="str">
        <f>IF(SalesMaster[Profit_Margin]&gt;=0.15, "Excellent", IF(SalesMaster[Profit_Margin]&gt;=0.05, "Average", "Needs Improvement"))</f>
        <v>Excellent</v>
      </c>
    </row>
    <row r="81" spans="1:20">
      <c r="A81">
        <v>1011</v>
      </c>
      <c r="B81" s="2">
        <v>44951</v>
      </c>
      <c r="C81" t="s">
        <v>14</v>
      </c>
      <c r="D81" t="s">
        <v>15</v>
      </c>
      <c r="E81">
        <v>2896.48</v>
      </c>
      <c r="F81">
        <v>22</v>
      </c>
      <c r="G81" t="s">
        <v>31</v>
      </c>
      <c r="H81">
        <v>1324.52</v>
      </c>
      <c r="I81">
        <v>1510.3</v>
      </c>
      <c r="J81" t="s">
        <v>17</v>
      </c>
      <c r="K81">
        <v>0.15</v>
      </c>
      <c r="L81" t="s">
        <v>18</v>
      </c>
      <c r="M81" t="s">
        <v>28</v>
      </c>
      <c r="N81" t="s">
        <v>20</v>
      </c>
      <c r="O81" s="6">
        <f>SalesMaster[[#This Row],[Sales_Amount]]*SalesMaster[[#This Row],[Quantity_Sold]]</f>
        <v>63722.559999999998</v>
      </c>
      <c r="P81" s="6">
        <f>SalesMaster[[#This Row],[Quantity_Sold]]*SalesMaster[[#This Row],[Unit_Cost]]</f>
        <v>29139.439999999999</v>
      </c>
      <c r="Q81" s="6">
        <f>SalesMaster[[#This Row],[Total_Sales]]-SalesMaster[[#This Row],[Total_Cost]]</f>
        <v>34583.119999999995</v>
      </c>
      <c r="R81" s="1">
        <f>IFERROR(SalesMaster[Net Profit]/SalesMaster[Total_Sales], 0)</f>
        <v>0.54271391482074793</v>
      </c>
      <c r="S81" t="str">
        <f>TEXT(SalesMaster[[#This Row],[Sale_Date]], "mmm")</f>
        <v>Jan</v>
      </c>
      <c r="T81" s="6" t="str">
        <f>IF(SalesMaster[Profit_Margin]&gt;=0.15, "Excellent", IF(SalesMaster[Profit_Margin]&gt;=0.05, "Average", "Needs Improvement"))</f>
        <v>Excellent</v>
      </c>
    </row>
    <row r="82" spans="1:20">
      <c r="A82">
        <v>1090</v>
      </c>
      <c r="B82" s="2">
        <v>44951</v>
      </c>
      <c r="C82" t="s">
        <v>21</v>
      </c>
      <c r="D82" t="s">
        <v>25</v>
      </c>
      <c r="E82">
        <v>2381.12</v>
      </c>
      <c r="F82">
        <v>17</v>
      </c>
      <c r="G82" t="s">
        <v>16</v>
      </c>
      <c r="H82">
        <v>4190.26</v>
      </c>
      <c r="I82">
        <v>4645.3500000000004</v>
      </c>
      <c r="J82" t="s">
        <v>22</v>
      </c>
      <c r="K82">
        <v>0.12</v>
      </c>
      <c r="L82" t="s">
        <v>23</v>
      </c>
      <c r="M82" t="s">
        <v>28</v>
      </c>
      <c r="N82" t="s">
        <v>51</v>
      </c>
      <c r="O82" s="6">
        <f>SalesMaster[[#This Row],[Sales_Amount]]*SalesMaster[[#This Row],[Quantity_Sold]]</f>
        <v>40479.040000000001</v>
      </c>
      <c r="P82" s="6">
        <f>SalesMaster[[#This Row],[Quantity_Sold]]*SalesMaster[[#This Row],[Unit_Cost]]</f>
        <v>71234.42</v>
      </c>
      <c r="Q82" s="6">
        <f>SalesMaster[[#This Row],[Total_Sales]]-SalesMaster[[#This Row],[Total_Cost]]</f>
        <v>-30755.379999999997</v>
      </c>
      <c r="R82" s="1">
        <f>IFERROR(SalesMaster[Net Profit]/SalesMaster[Total_Sales], 0)</f>
        <v>-0.75978531111409753</v>
      </c>
      <c r="S82" t="str">
        <f>TEXT(SalesMaster[[#This Row],[Sale_Date]], "mmm")</f>
        <v>Jan</v>
      </c>
      <c r="T82" s="6" t="str">
        <f>IF(SalesMaster[Profit_Margin]&gt;=0.15, "Excellent", IF(SalesMaster[Profit_Margin]&gt;=0.05, "Average", "Needs Improvement"))</f>
        <v>Needs Improvement</v>
      </c>
    </row>
    <row r="83" spans="1:20">
      <c r="A83">
        <v>1096</v>
      </c>
      <c r="B83" s="2">
        <v>44951</v>
      </c>
      <c r="C83" t="s">
        <v>21</v>
      </c>
      <c r="D83" t="s">
        <v>33</v>
      </c>
      <c r="E83">
        <v>6206.16</v>
      </c>
      <c r="F83">
        <v>27</v>
      </c>
      <c r="G83" t="s">
        <v>16</v>
      </c>
      <c r="H83">
        <v>4809</v>
      </c>
      <c r="I83">
        <v>4967.4399999999996</v>
      </c>
      <c r="J83" t="s">
        <v>22</v>
      </c>
      <c r="K83">
        <v>0.12</v>
      </c>
      <c r="L83" t="s">
        <v>18</v>
      </c>
      <c r="M83" t="s">
        <v>19</v>
      </c>
      <c r="N83" t="s">
        <v>48</v>
      </c>
      <c r="O83" s="6">
        <f>SalesMaster[[#This Row],[Sales_Amount]]*SalesMaster[[#This Row],[Quantity_Sold]]</f>
        <v>167566.32</v>
      </c>
      <c r="P83" s="6">
        <f>SalesMaster[[#This Row],[Quantity_Sold]]*SalesMaster[[#This Row],[Unit_Cost]]</f>
        <v>129843</v>
      </c>
      <c r="Q83" s="6">
        <f>SalesMaster[[#This Row],[Total_Sales]]-SalesMaster[[#This Row],[Total_Cost]]</f>
        <v>37723.320000000007</v>
      </c>
      <c r="R83" s="1">
        <f>IFERROR(SalesMaster[Net Profit]/SalesMaster[Total_Sales], 0)</f>
        <v>0.22512471479948956</v>
      </c>
      <c r="S83" t="str">
        <f>TEXT(SalesMaster[[#This Row],[Sale_Date]], "mmm")</f>
        <v>Jan</v>
      </c>
      <c r="T83" s="6" t="str">
        <f>IF(SalesMaster[Profit_Margin]&gt;=0.15, "Excellent", IF(SalesMaster[Profit_Margin]&gt;=0.05, "Average", "Needs Improvement"))</f>
        <v>Excellent</v>
      </c>
    </row>
    <row r="84" spans="1:20">
      <c r="A84">
        <v>1048</v>
      </c>
      <c r="B84" s="2">
        <v>44951</v>
      </c>
      <c r="C84" t="s">
        <v>14</v>
      </c>
      <c r="D84" t="s">
        <v>25</v>
      </c>
      <c r="E84">
        <v>4961.8500000000004</v>
      </c>
      <c r="F84">
        <v>7</v>
      </c>
      <c r="G84" t="s">
        <v>31</v>
      </c>
      <c r="H84">
        <v>1655.43</v>
      </c>
      <c r="I84">
        <v>2001.08</v>
      </c>
      <c r="J84" t="s">
        <v>22</v>
      </c>
      <c r="K84">
        <v>0.19</v>
      </c>
      <c r="L84" t="s">
        <v>27</v>
      </c>
      <c r="M84" t="s">
        <v>19</v>
      </c>
      <c r="N84" t="s">
        <v>29</v>
      </c>
      <c r="O84" s="6">
        <f>SalesMaster[[#This Row],[Sales_Amount]]*SalesMaster[[#This Row],[Quantity_Sold]]</f>
        <v>34732.950000000004</v>
      </c>
      <c r="P84" s="6">
        <f>SalesMaster[[#This Row],[Quantity_Sold]]*SalesMaster[[#This Row],[Unit_Cost]]</f>
        <v>11588.01</v>
      </c>
      <c r="Q84" s="6">
        <f>SalesMaster[[#This Row],[Total_Sales]]-SalesMaster[[#This Row],[Total_Cost]]</f>
        <v>23144.940000000002</v>
      </c>
      <c r="R84" s="1">
        <f>IFERROR(SalesMaster[Net Profit]/SalesMaster[Total_Sales], 0)</f>
        <v>0.66636839082197163</v>
      </c>
      <c r="S84" t="str">
        <f>TEXT(SalesMaster[[#This Row],[Sale_Date]], "mmm")</f>
        <v>Jan</v>
      </c>
      <c r="T84" s="6" t="str">
        <f>IF(SalesMaster[Profit_Margin]&gt;=0.15, "Excellent", IF(SalesMaster[Profit_Margin]&gt;=0.05, "Average", "Needs Improvement"))</f>
        <v>Excellent</v>
      </c>
    </row>
    <row r="85" spans="1:20">
      <c r="A85">
        <v>1083</v>
      </c>
      <c r="B85" s="2">
        <v>44951</v>
      </c>
      <c r="C85" t="s">
        <v>30</v>
      </c>
      <c r="D85" t="s">
        <v>36</v>
      </c>
      <c r="E85">
        <v>757.99</v>
      </c>
      <c r="F85">
        <v>34</v>
      </c>
      <c r="G85" t="s">
        <v>16</v>
      </c>
      <c r="H85">
        <v>1167.9100000000001</v>
      </c>
      <c r="I85">
        <v>1547.26</v>
      </c>
      <c r="J85" t="s">
        <v>22</v>
      </c>
      <c r="K85">
        <v>0.11</v>
      </c>
      <c r="L85" t="s">
        <v>27</v>
      </c>
      <c r="M85" t="s">
        <v>19</v>
      </c>
      <c r="N85" t="s">
        <v>46</v>
      </c>
      <c r="O85" s="6">
        <f>SalesMaster[[#This Row],[Sales_Amount]]*SalesMaster[[#This Row],[Quantity_Sold]]</f>
        <v>25771.66</v>
      </c>
      <c r="P85" s="6">
        <f>SalesMaster[[#This Row],[Quantity_Sold]]*SalesMaster[[#This Row],[Unit_Cost]]</f>
        <v>39708.94</v>
      </c>
      <c r="Q85" s="6">
        <f>SalesMaster[[#This Row],[Total_Sales]]-SalesMaster[[#This Row],[Total_Cost]]</f>
        <v>-13937.280000000002</v>
      </c>
      <c r="R85" s="1">
        <f>IFERROR(SalesMaster[Net Profit]/SalesMaster[Total_Sales], 0)</f>
        <v>-0.54079869127561064</v>
      </c>
      <c r="S85" t="str">
        <f>TEXT(SalesMaster[[#This Row],[Sale_Date]], "mmm")</f>
        <v>Jan</v>
      </c>
      <c r="T85" s="6" t="str">
        <f>IF(SalesMaster[Profit_Margin]&gt;=0.15, "Excellent", IF(SalesMaster[Profit_Margin]&gt;=0.05, "Average", "Needs Improvement"))</f>
        <v>Needs Improvement</v>
      </c>
    </row>
    <row r="86" spans="1:20">
      <c r="A86">
        <v>1061</v>
      </c>
      <c r="B86" s="2">
        <v>44951</v>
      </c>
      <c r="C86" t="s">
        <v>35</v>
      </c>
      <c r="D86" t="s">
        <v>36</v>
      </c>
      <c r="E86">
        <v>2375.2800000000002</v>
      </c>
      <c r="F86">
        <v>38</v>
      </c>
      <c r="G86" t="s">
        <v>26</v>
      </c>
      <c r="H86">
        <v>4440.8599999999997</v>
      </c>
      <c r="I86">
        <v>4506.8099999999904</v>
      </c>
      <c r="J86" t="s">
        <v>17</v>
      </c>
      <c r="K86">
        <v>0.24</v>
      </c>
      <c r="L86" t="s">
        <v>27</v>
      </c>
      <c r="M86" t="s">
        <v>19</v>
      </c>
      <c r="N86" t="s">
        <v>37</v>
      </c>
      <c r="O86" s="6">
        <f>SalesMaster[[#This Row],[Sales_Amount]]*SalesMaster[[#This Row],[Quantity_Sold]]</f>
        <v>90260.640000000014</v>
      </c>
      <c r="P86" s="6">
        <f>SalesMaster[[#This Row],[Quantity_Sold]]*SalesMaster[[#This Row],[Unit_Cost]]</f>
        <v>168752.68</v>
      </c>
      <c r="Q86" s="6">
        <f>SalesMaster[[#This Row],[Total_Sales]]-SalesMaster[[#This Row],[Total_Cost]]</f>
        <v>-78492.039999999979</v>
      </c>
      <c r="R86" s="1">
        <f>IFERROR(SalesMaster[Net Profit]/SalesMaster[Total_Sales], 0)</f>
        <v>-0.86961537166144587</v>
      </c>
      <c r="S86" t="str">
        <f>TEXT(SalesMaster[[#This Row],[Sale_Date]], "mmm")</f>
        <v>Jan</v>
      </c>
      <c r="T86" s="6" t="str">
        <f>IF(SalesMaster[Profit_Margin]&gt;=0.15, "Excellent", IF(SalesMaster[Profit_Margin]&gt;=0.05, "Average", "Needs Improvement"))</f>
        <v>Needs Improvement</v>
      </c>
    </row>
    <row r="87" spans="1:20">
      <c r="A87">
        <v>1018</v>
      </c>
      <c r="B87" s="2">
        <v>44952</v>
      </c>
      <c r="C87" t="s">
        <v>42</v>
      </c>
      <c r="D87" t="s">
        <v>36</v>
      </c>
      <c r="E87">
        <v>3187.45</v>
      </c>
      <c r="F87">
        <v>11</v>
      </c>
      <c r="G87" t="s">
        <v>16</v>
      </c>
      <c r="H87">
        <v>2414.8200000000002</v>
      </c>
      <c r="I87">
        <v>2519.0700000000002</v>
      </c>
      <c r="J87" t="s">
        <v>17</v>
      </c>
      <c r="K87">
        <v>0</v>
      </c>
      <c r="L87" t="s">
        <v>18</v>
      </c>
      <c r="M87" t="s">
        <v>19</v>
      </c>
      <c r="N87" t="s">
        <v>43</v>
      </c>
      <c r="O87" s="6">
        <f>SalesMaster[[#This Row],[Sales_Amount]]*SalesMaster[[#This Row],[Quantity_Sold]]</f>
        <v>35061.949999999997</v>
      </c>
      <c r="P87" s="6">
        <f>SalesMaster[[#This Row],[Quantity_Sold]]*SalesMaster[[#This Row],[Unit_Cost]]</f>
        <v>26563.02</v>
      </c>
      <c r="Q87" s="6">
        <f>SalesMaster[[#This Row],[Total_Sales]]-SalesMaster[[#This Row],[Total_Cost]]</f>
        <v>8498.9299999999967</v>
      </c>
      <c r="R87" s="1">
        <f>IFERROR(SalesMaster[Net Profit]/SalesMaster[Total_Sales], 0)</f>
        <v>0.24239752780435764</v>
      </c>
      <c r="S87" t="str">
        <f>TEXT(SalesMaster[[#This Row],[Sale_Date]], "mmm")</f>
        <v>Jan</v>
      </c>
      <c r="T87" s="6" t="str">
        <f>IF(SalesMaster[Profit_Margin]&gt;=0.15, "Excellent", IF(SalesMaster[Profit_Margin]&gt;=0.05, "Average", "Needs Improvement"))</f>
        <v>Excellent</v>
      </c>
    </row>
    <row r="88" spans="1:20">
      <c r="A88">
        <v>1023</v>
      </c>
      <c r="B88" s="2">
        <v>44952</v>
      </c>
      <c r="C88" t="s">
        <v>30</v>
      </c>
      <c r="D88" t="s">
        <v>15</v>
      </c>
      <c r="E88">
        <v>2676.34</v>
      </c>
      <c r="F88">
        <v>36</v>
      </c>
      <c r="G88" t="s">
        <v>16</v>
      </c>
      <c r="H88">
        <v>1991.72</v>
      </c>
      <c r="I88">
        <v>2329.37</v>
      </c>
      <c r="J88" t="s">
        <v>22</v>
      </c>
      <c r="K88">
        <v>0.28000000000000003</v>
      </c>
      <c r="L88" t="s">
        <v>23</v>
      </c>
      <c r="M88" t="s">
        <v>28</v>
      </c>
      <c r="N88" t="s">
        <v>53</v>
      </c>
      <c r="O88" s="6">
        <f>SalesMaster[[#This Row],[Sales_Amount]]*SalesMaster[[#This Row],[Quantity_Sold]]</f>
        <v>96348.24</v>
      </c>
      <c r="P88" s="6">
        <f>SalesMaster[[#This Row],[Quantity_Sold]]*SalesMaster[[#This Row],[Unit_Cost]]</f>
        <v>71701.919999999998</v>
      </c>
      <c r="Q88" s="6">
        <f>SalesMaster[[#This Row],[Total_Sales]]-SalesMaster[[#This Row],[Total_Cost]]</f>
        <v>24646.320000000007</v>
      </c>
      <c r="R88" s="1">
        <f>IFERROR(SalesMaster[Net Profit]/SalesMaster[Total_Sales], 0)</f>
        <v>0.25580456892622022</v>
      </c>
      <c r="S88" t="str">
        <f>TEXT(SalesMaster[[#This Row],[Sale_Date]], "mmm")</f>
        <v>Jan</v>
      </c>
      <c r="T88" s="6" t="str">
        <f>IF(SalesMaster[Profit_Margin]&gt;=0.15, "Excellent", IF(SalesMaster[Profit_Margin]&gt;=0.05, "Average", "Needs Improvement"))</f>
        <v>Excellent</v>
      </c>
    </row>
    <row r="89" spans="1:20">
      <c r="A89">
        <v>1026</v>
      </c>
      <c r="B89" s="2">
        <v>44952</v>
      </c>
      <c r="C89" t="s">
        <v>30</v>
      </c>
      <c r="D89" t="s">
        <v>36</v>
      </c>
      <c r="E89">
        <v>2195.1999999999998</v>
      </c>
      <c r="F89">
        <v>5</v>
      </c>
      <c r="G89" t="s">
        <v>41</v>
      </c>
      <c r="H89">
        <v>4093.61</v>
      </c>
      <c r="I89">
        <v>4117.88</v>
      </c>
      <c r="J89" t="s">
        <v>17</v>
      </c>
      <c r="K89">
        <v>0.12</v>
      </c>
      <c r="L89" t="s">
        <v>23</v>
      </c>
      <c r="M89" t="s">
        <v>28</v>
      </c>
      <c r="N89" t="s">
        <v>46</v>
      </c>
      <c r="O89" s="6">
        <f>SalesMaster[[#This Row],[Sales_Amount]]*SalesMaster[[#This Row],[Quantity_Sold]]</f>
        <v>10976</v>
      </c>
      <c r="P89" s="6">
        <f>SalesMaster[[#This Row],[Quantity_Sold]]*SalesMaster[[#This Row],[Unit_Cost]]</f>
        <v>20468.05</v>
      </c>
      <c r="Q89" s="6">
        <f>SalesMaster[[#This Row],[Total_Sales]]-SalesMaster[[#This Row],[Total_Cost]]</f>
        <v>-9492.0499999999993</v>
      </c>
      <c r="R89" s="1">
        <f>IFERROR(SalesMaster[Net Profit]/SalesMaster[Total_Sales], 0)</f>
        <v>-0.86480047376093283</v>
      </c>
      <c r="S89" t="str">
        <f>TEXT(SalesMaster[[#This Row],[Sale_Date]], "mmm")</f>
        <v>Jan</v>
      </c>
      <c r="T89" s="6" t="str">
        <f>IF(SalesMaster[Profit_Margin]&gt;=0.15, "Excellent", IF(SalesMaster[Profit_Margin]&gt;=0.05, "Average", "Needs Improvement"))</f>
        <v>Needs Improvement</v>
      </c>
    </row>
    <row r="90" spans="1:20">
      <c r="A90">
        <v>1016</v>
      </c>
      <c r="B90" s="2">
        <v>44953</v>
      </c>
      <c r="C90" t="s">
        <v>14</v>
      </c>
      <c r="D90" t="s">
        <v>15</v>
      </c>
      <c r="E90">
        <v>2783.85</v>
      </c>
      <c r="F90">
        <v>41</v>
      </c>
      <c r="G90" t="s">
        <v>41</v>
      </c>
      <c r="H90">
        <v>3386.49</v>
      </c>
      <c r="I90">
        <v>3430.99</v>
      </c>
      <c r="J90" t="s">
        <v>22</v>
      </c>
      <c r="K90">
        <v>0.21</v>
      </c>
      <c r="L90" t="s">
        <v>27</v>
      </c>
      <c r="M90" t="s">
        <v>28</v>
      </c>
      <c r="N90" t="s">
        <v>20</v>
      </c>
      <c r="O90" s="6">
        <f>SalesMaster[[#This Row],[Sales_Amount]]*SalesMaster[[#This Row],[Quantity_Sold]]</f>
        <v>114137.84999999999</v>
      </c>
      <c r="P90" s="6">
        <f>SalesMaster[[#This Row],[Quantity_Sold]]*SalesMaster[[#This Row],[Unit_Cost]]</f>
        <v>138846.09</v>
      </c>
      <c r="Q90" s="6">
        <f>SalesMaster[[#This Row],[Total_Sales]]-SalesMaster[[#This Row],[Total_Cost]]</f>
        <v>-24708.240000000005</v>
      </c>
      <c r="R90" s="1">
        <f>IFERROR(SalesMaster[Net Profit]/SalesMaster[Total_Sales], 0)</f>
        <v>-0.21647718088259071</v>
      </c>
      <c r="S90" t="str">
        <f>TEXT(SalesMaster[[#This Row],[Sale_Date]], "mmm")</f>
        <v>Jan</v>
      </c>
      <c r="T90" s="6" t="str">
        <f>IF(SalesMaster[Profit_Margin]&gt;=0.15, "Excellent", IF(SalesMaster[Profit_Margin]&gt;=0.05, "Average", "Needs Improvement"))</f>
        <v>Needs Improvement</v>
      </c>
    </row>
    <row r="91" spans="1:20">
      <c r="A91">
        <v>1092</v>
      </c>
      <c r="B91" s="2">
        <v>44953</v>
      </c>
      <c r="C91" t="s">
        <v>30</v>
      </c>
      <c r="D91" t="s">
        <v>33</v>
      </c>
      <c r="E91">
        <v>6939.75</v>
      </c>
      <c r="F91">
        <v>26</v>
      </c>
      <c r="G91" t="s">
        <v>26</v>
      </c>
      <c r="H91">
        <v>3697.29</v>
      </c>
      <c r="I91">
        <v>4003.96</v>
      </c>
      <c r="J91" t="s">
        <v>22</v>
      </c>
      <c r="K91">
        <v>0.24</v>
      </c>
      <c r="L91" t="s">
        <v>18</v>
      </c>
      <c r="M91" t="s">
        <v>19</v>
      </c>
      <c r="N91" t="s">
        <v>34</v>
      </c>
      <c r="O91" s="6">
        <f>SalesMaster[[#This Row],[Sales_Amount]]*SalesMaster[[#This Row],[Quantity_Sold]]</f>
        <v>180433.5</v>
      </c>
      <c r="P91" s="6">
        <f>SalesMaster[[#This Row],[Quantity_Sold]]*SalesMaster[[#This Row],[Unit_Cost]]</f>
        <v>96129.54</v>
      </c>
      <c r="Q91" s="6">
        <f>SalesMaster[[#This Row],[Total_Sales]]-SalesMaster[[#This Row],[Total_Cost]]</f>
        <v>84303.96</v>
      </c>
      <c r="R91" s="1">
        <f>IFERROR(SalesMaster[Net Profit]/SalesMaster[Total_Sales], 0)</f>
        <v>0.4672300875391765</v>
      </c>
      <c r="S91" t="str">
        <f>TEXT(SalesMaster[[#This Row],[Sale_Date]], "mmm")</f>
        <v>Jan</v>
      </c>
      <c r="T91" s="6" t="str">
        <f>IF(SalesMaster[Profit_Margin]&gt;=0.15, "Excellent", IF(SalesMaster[Profit_Margin]&gt;=0.05, "Average", "Needs Improvement"))</f>
        <v>Excellent</v>
      </c>
    </row>
    <row r="92" spans="1:20">
      <c r="A92">
        <v>1065</v>
      </c>
      <c r="B92" s="2">
        <v>44953</v>
      </c>
      <c r="C92" t="s">
        <v>35</v>
      </c>
      <c r="D92" t="s">
        <v>25</v>
      </c>
      <c r="E92">
        <v>1621.54</v>
      </c>
      <c r="F92">
        <v>12</v>
      </c>
      <c r="G92" t="s">
        <v>31</v>
      </c>
      <c r="H92">
        <v>2035.68</v>
      </c>
      <c r="I92">
        <v>2079.64</v>
      </c>
      <c r="J92" t="s">
        <v>17</v>
      </c>
      <c r="K92">
        <v>0.04</v>
      </c>
      <c r="L92" t="s">
        <v>18</v>
      </c>
      <c r="M92" t="s">
        <v>19</v>
      </c>
      <c r="N92" t="s">
        <v>40</v>
      </c>
      <c r="O92" s="6">
        <f>SalesMaster[[#This Row],[Sales_Amount]]*SalesMaster[[#This Row],[Quantity_Sold]]</f>
        <v>19458.48</v>
      </c>
      <c r="P92" s="6">
        <f>SalesMaster[[#This Row],[Quantity_Sold]]*SalesMaster[[#This Row],[Unit_Cost]]</f>
        <v>24428.16</v>
      </c>
      <c r="Q92" s="6">
        <f>SalesMaster[[#This Row],[Total_Sales]]-SalesMaster[[#This Row],[Total_Cost]]</f>
        <v>-4969.68</v>
      </c>
      <c r="R92" s="1">
        <f>IFERROR(SalesMaster[Net Profit]/SalesMaster[Total_Sales], 0)</f>
        <v>-0.25539918842581744</v>
      </c>
      <c r="S92" t="str">
        <f>TEXT(SalesMaster[[#This Row],[Sale_Date]], "mmm")</f>
        <v>Jan</v>
      </c>
      <c r="T92" s="6" t="str">
        <f>IF(SalesMaster[Profit_Margin]&gt;=0.15, "Excellent", IF(SalesMaster[Profit_Margin]&gt;=0.05, "Average", "Needs Improvement"))</f>
        <v>Needs Improvement</v>
      </c>
    </row>
    <row r="93" spans="1:20">
      <c r="A93">
        <v>1034</v>
      </c>
      <c r="B93" s="2">
        <v>44953</v>
      </c>
      <c r="C93" t="s">
        <v>35</v>
      </c>
      <c r="D93" t="s">
        <v>36</v>
      </c>
      <c r="E93">
        <v>414.26</v>
      </c>
      <c r="F93">
        <v>38</v>
      </c>
      <c r="G93" t="s">
        <v>41</v>
      </c>
      <c r="H93">
        <v>2729.75</v>
      </c>
      <c r="I93">
        <v>3081.5</v>
      </c>
      <c r="J93" t="s">
        <v>22</v>
      </c>
      <c r="K93">
        <v>0.01</v>
      </c>
      <c r="L93" t="s">
        <v>27</v>
      </c>
      <c r="M93" t="s">
        <v>19</v>
      </c>
      <c r="N93" t="s">
        <v>37</v>
      </c>
      <c r="O93" s="6">
        <f>SalesMaster[[#This Row],[Sales_Amount]]*SalesMaster[[#This Row],[Quantity_Sold]]</f>
        <v>15741.88</v>
      </c>
      <c r="P93" s="6">
        <f>SalesMaster[[#This Row],[Quantity_Sold]]*SalesMaster[[#This Row],[Unit_Cost]]</f>
        <v>103730.5</v>
      </c>
      <c r="Q93" s="6">
        <f>SalesMaster[[#This Row],[Total_Sales]]-SalesMaster[[#This Row],[Total_Cost]]</f>
        <v>-87988.62</v>
      </c>
      <c r="R93" s="1">
        <f>IFERROR(SalesMaster[Net Profit]/SalesMaster[Total_Sales], 0)</f>
        <v>-5.5894607251484576</v>
      </c>
      <c r="S93" t="str">
        <f>TEXT(SalesMaster[[#This Row],[Sale_Date]], "mmm")</f>
        <v>Jan</v>
      </c>
      <c r="T93" s="6" t="str">
        <f>IF(SalesMaster[Profit_Margin]&gt;=0.15, "Excellent", IF(SalesMaster[Profit_Margin]&gt;=0.05, "Average", "Needs Improvement"))</f>
        <v>Needs Improvement</v>
      </c>
    </row>
    <row r="94" spans="1:20">
      <c r="A94">
        <v>1092</v>
      </c>
      <c r="B94" s="2">
        <v>44955</v>
      </c>
      <c r="C94" t="s">
        <v>35</v>
      </c>
      <c r="D94" t="s">
        <v>25</v>
      </c>
      <c r="E94">
        <v>8936.33</v>
      </c>
      <c r="F94">
        <v>13</v>
      </c>
      <c r="G94" t="s">
        <v>16</v>
      </c>
      <c r="H94">
        <v>2684.5</v>
      </c>
      <c r="I94">
        <v>2913.78</v>
      </c>
      <c r="J94" t="s">
        <v>22</v>
      </c>
      <c r="K94">
        <v>0.08</v>
      </c>
      <c r="L94" t="s">
        <v>23</v>
      </c>
      <c r="M94" t="s">
        <v>28</v>
      </c>
      <c r="N94" t="s">
        <v>40</v>
      </c>
      <c r="O94" s="6">
        <f>SalesMaster[[#This Row],[Sales_Amount]]*SalesMaster[[#This Row],[Quantity_Sold]]</f>
        <v>116172.29</v>
      </c>
      <c r="P94" s="6">
        <f>SalesMaster[[#This Row],[Quantity_Sold]]*SalesMaster[[#This Row],[Unit_Cost]]</f>
        <v>34898.5</v>
      </c>
      <c r="Q94" s="6">
        <f>SalesMaster[[#This Row],[Total_Sales]]-SalesMaster[[#This Row],[Total_Cost]]</f>
        <v>81273.789999999994</v>
      </c>
      <c r="R94" s="1">
        <f>IFERROR(SalesMaster[Net Profit]/SalesMaster[Total_Sales], 0)</f>
        <v>0.69959703815772245</v>
      </c>
      <c r="S94" t="str">
        <f>TEXT(SalesMaster[[#This Row],[Sale_Date]], "mmm")</f>
        <v>Jan</v>
      </c>
      <c r="T94" s="6" t="str">
        <f>IF(SalesMaster[Profit_Margin]&gt;=0.15, "Excellent", IF(SalesMaster[Profit_Margin]&gt;=0.05, "Average", "Needs Improvement"))</f>
        <v>Excellent</v>
      </c>
    </row>
    <row r="95" spans="1:20">
      <c r="A95">
        <v>1017</v>
      </c>
      <c r="B95" s="2">
        <v>44955</v>
      </c>
      <c r="C95" t="s">
        <v>21</v>
      </c>
      <c r="D95" t="s">
        <v>25</v>
      </c>
      <c r="E95">
        <v>4882.09</v>
      </c>
      <c r="F95">
        <v>19</v>
      </c>
      <c r="G95" t="s">
        <v>31</v>
      </c>
      <c r="H95">
        <v>1233.1199999999999</v>
      </c>
      <c r="I95">
        <v>1697.1899999999901</v>
      </c>
      <c r="J95" t="s">
        <v>22</v>
      </c>
      <c r="K95">
        <v>0.1</v>
      </c>
      <c r="L95" t="s">
        <v>23</v>
      </c>
      <c r="M95" t="s">
        <v>19</v>
      </c>
      <c r="N95" t="s">
        <v>51</v>
      </c>
      <c r="O95" s="6">
        <f>SalesMaster[[#This Row],[Sales_Amount]]*SalesMaster[[#This Row],[Quantity_Sold]]</f>
        <v>92759.71</v>
      </c>
      <c r="P95" s="6">
        <f>SalesMaster[[#This Row],[Quantity_Sold]]*SalesMaster[[#This Row],[Unit_Cost]]</f>
        <v>23429.279999999999</v>
      </c>
      <c r="Q95" s="6">
        <f>SalesMaster[[#This Row],[Total_Sales]]-SalesMaster[[#This Row],[Total_Cost]]</f>
        <v>69330.430000000008</v>
      </c>
      <c r="R95" s="1">
        <f>IFERROR(SalesMaster[Net Profit]/SalesMaster[Total_Sales], 0)</f>
        <v>0.74741965019079948</v>
      </c>
      <c r="S95" t="str">
        <f>TEXT(SalesMaster[[#This Row],[Sale_Date]], "mmm")</f>
        <v>Jan</v>
      </c>
      <c r="T95" s="6" t="str">
        <f>IF(SalesMaster[Profit_Margin]&gt;=0.15, "Excellent", IF(SalesMaster[Profit_Margin]&gt;=0.05, "Average", "Needs Improvement"))</f>
        <v>Excellent</v>
      </c>
    </row>
    <row r="96" spans="1:20">
      <c r="A96">
        <v>1042</v>
      </c>
      <c r="B96" s="2">
        <v>44955</v>
      </c>
      <c r="C96" t="s">
        <v>14</v>
      </c>
      <c r="D96" t="s">
        <v>15</v>
      </c>
      <c r="E96">
        <v>9772.3700000000008</v>
      </c>
      <c r="F96">
        <v>25</v>
      </c>
      <c r="G96" t="s">
        <v>41</v>
      </c>
      <c r="H96">
        <v>2403.54</v>
      </c>
      <c r="I96">
        <v>2850.56</v>
      </c>
      <c r="J96" t="s">
        <v>22</v>
      </c>
      <c r="K96">
        <v>0.13</v>
      </c>
      <c r="L96" t="s">
        <v>27</v>
      </c>
      <c r="M96" t="s">
        <v>19</v>
      </c>
      <c r="N96" t="s">
        <v>20</v>
      </c>
      <c r="O96" s="6">
        <f>SalesMaster[[#This Row],[Sales_Amount]]*SalesMaster[[#This Row],[Quantity_Sold]]</f>
        <v>244309.25000000003</v>
      </c>
      <c r="P96" s="6">
        <f>SalesMaster[[#This Row],[Quantity_Sold]]*SalesMaster[[#This Row],[Unit_Cost]]</f>
        <v>60088.5</v>
      </c>
      <c r="Q96" s="6">
        <f>SalesMaster[[#This Row],[Total_Sales]]-SalesMaster[[#This Row],[Total_Cost]]</f>
        <v>184220.75000000003</v>
      </c>
      <c r="R96" s="1">
        <f>IFERROR(SalesMaster[Net Profit]/SalesMaster[Total_Sales], 0)</f>
        <v>0.75404738052284148</v>
      </c>
      <c r="S96" t="str">
        <f>TEXT(SalesMaster[[#This Row],[Sale_Date]], "mmm")</f>
        <v>Jan</v>
      </c>
      <c r="T96" s="6" t="str">
        <f>IF(SalesMaster[Profit_Margin]&gt;=0.15, "Excellent", IF(SalesMaster[Profit_Margin]&gt;=0.05, "Average", "Needs Improvement"))</f>
        <v>Excellent</v>
      </c>
    </row>
    <row r="97" spans="1:20">
      <c r="A97">
        <v>1007</v>
      </c>
      <c r="B97" s="2">
        <v>44955</v>
      </c>
      <c r="C97" t="s">
        <v>21</v>
      </c>
      <c r="D97" t="s">
        <v>33</v>
      </c>
      <c r="E97">
        <v>2491.21</v>
      </c>
      <c r="F97">
        <v>13</v>
      </c>
      <c r="G97" t="s">
        <v>26</v>
      </c>
      <c r="H97">
        <v>3765.46</v>
      </c>
      <c r="I97">
        <v>3860.56</v>
      </c>
      <c r="J97" t="s">
        <v>17</v>
      </c>
      <c r="K97">
        <v>0.22</v>
      </c>
      <c r="L97" t="s">
        <v>18</v>
      </c>
      <c r="M97" t="s">
        <v>28</v>
      </c>
      <c r="N97" t="s">
        <v>48</v>
      </c>
      <c r="O97" s="6">
        <f>SalesMaster[[#This Row],[Sales_Amount]]*SalesMaster[[#This Row],[Quantity_Sold]]</f>
        <v>32385.73</v>
      </c>
      <c r="P97" s="6">
        <f>SalesMaster[[#This Row],[Quantity_Sold]]*SalesMaster[[#This Row],[Unit_Cost]]</f>
        <v>48950.98</v>
      </c>
      <c r="Q97" s="6">
        <f>SalesMaster[[#This Row],[Total_Sales]]-SalesMaster[[#This Row],[Total_Cost]]</f>
        <v>-16565.250000000004</v>
      </c>
      <c r="R97" s="1">
        <f>IFERROR(SalesMaster[Net Profit]/SalesMaster[Total_Sales], 0)</f>
        <v>-0.51149842847451654</v>
      </c>
      <c r="S97" t="str">
        <f>TEXT(SalesMaster[[#This Row],[Sale_Date]], "mmm")</f>
        <v>Jan</v>
      </c>
      <c r="T97" s="6" t="str">
        <f>IF(SalesMaster[Profit_Margin]&gt;=0.15, "Excellent", IF(SalesMaster[Profit_Margin]&gt;=0.05, "Average", "Needs Improvement"))</f>
        <v>Needs Improvement</v>
      </c>
    </row>
    <row r="98" spans="1:20">
      <c r="A98">
        <v>1009</v>
      </c>
      <c r="B98" s="2">
        <v>44955</v>
      </c>
      <c r="C98" t="s">
        <v>14</v>
      </c>
      <c r="D98" t="s">
        <v>33</v>
      </c>
      <c r="E98">
        <v>182.8</v>
      </c>
      <c r="F98">
        <v>16</v>
      </c>
      <c r="G98" t="s">
        <v>16</v>
      </c>
      <c r="H98">
        <v>3745.69</v>
      </c>
      <c r="I98">
        <v>3883.77</v>
      </c>
      <c r="J98" t="s">
        <v>17</v>
      </c>
      <c r="K98">
        <v>0.18</v>
      </c>
      <c r="L98" t="s">
        <v>27</v>
      </c>
      <c r="M98" t="s">
        <v>28</v>
      </c>
      <c r="N98" t="s">
        <v>45</v>
      </c>
      <c r="O98" s="6">
        <f>SalesMaster[[#This Row],[Sales_Amount]]*SalesMaster[[#This Row],[Quantity_Sold]]</f>
        <v>2924.8</v>
      </c>
      <c r="P98" s="6">
        <f>SalesMaster[[#This Row],[Quantity_Sold]]*SalesMaster[[#This Row],[Unit_Cost]]</f>
        <v>59931.040000000001</v>
      </c>
      <c r="Q98" s="6">
        <f>SalesMaster[[#This Row],[Total_Sales]]-SalesMaster[[#This Row],[Total_Cost]]</f>
        <v>-57006.239999999998</v>
      </c>
      <c r="R98" s="1">
        <f>IFERROR(SalesMaster[Net Profit]/SalesMaster[Total_Sales], 0)</f>
        <v>-19.490645514223193</v>
      </c>
      <c r="S98" t="str">
        <f>TEXT(SalesMaster[[#This Row],[Sale_Date]], "mmm")</f>
        <v>Jan</v>
      </c>
      <c r="T98" s="6" t="str">
        <f>IF(SalesMaster[Profit_Margin]&gt;=0.15, "Excellent", IF(SalesMaster[Profit_Margin]&gt;=0.05, "Average", "Needs Improvement"))</f>
        <v>Needs Improvement</v>
      </c>
    </row>
    <row r="99" spans="1:20">
      <c r="A99">
        <v>1018</v>
      </c>
      <c r="B99" s="2">
        <v>44955</v>
      </c>
      <c r="C99" t="s">
        <v>30</v>
      </c>
      <c r="D99" t="s">
        <v>33</v>
      </c>
      <c r="E99">
        <v>6008.83</v>
      </c>
      <c r="F99">
        <v>25</v>
      </c>
      <c r="G99" t="s">
        <v>41</v>
      </c>
      <c r="H99">
        <v>4660.82</v>
      </c>
      <c r="I99">
        <v>5011.4299999999903</v>
      </c>
      <c r="J99" t="s">
        <v>22</v>
      </c>
      <c r="K99">
        <v>7.0000000000000007E-2</v>
      </c>
      <c r="L99" t="s">
        <v>27</v>
      </c>
      <c r="M99" t="s">
        <v>19</v>
      </c>
      <c r="N99" t="s">
        <v>34</v>
      </c>
      <c r="O99" s="6">
        <f>SalesMaster[[#This Row],[Sales_Amount]]*SalesMaster[[#This Row],[Quantity_Sold]]</f>
        <v>150220.75</v>
      </c>
      <c r="P99" s="6">
        <f>SalesMaster[[#This Row],[Quantity_Sold]]*SalesMaster[[#This Row],[Unit_Cost]]</f>
        <v>116520.5</v>
      </c>
      <c r="Q99" s="6">
        <f>SalesMaster[[#This Row],[Total_Sales]]-SalesMaster[[#This Row],[Total_Cost]]</f>
        <v>33700.25</v>
      </c>
      <c r="R99" s="1">
        <f>IFERROR(SalesMaster[Net Profit]/SalesMaster[Total_Sales], 0)</f>
        <v>0.22433818230836952</v>
      </c>
      <c r="S99" t="str">
        <f>TEXT(SalesMaster[[#This Row],[Sale_Date]], "mmm")</f>
        <v>Jan</v>
      </c>
      <c r="T99" s="6" t="str">
        <f>IF(SalesMaster[Profit_Margin]&gt;=0.15, "Excellent", IF(SalesMaster[Profit_Margin]&gt;=0.05, "Average", "Needs Improvement"))</f>
        <v>Excellent</v>
      </c>
    </row>
    <row r="100" spans="1:20">
      <c r="A100">
        <v>1042</v>
      </c>
      <c r="B100" s="2">
        <v>44957</v>
      </c>
      <c r="C100" t="s">
        <v>42</v>
      </c>
      <c r="D100" t="s">
        <v>15</v>
      </c>
      <c r="E100">
        <v>5207.03</v>
      </c>
      <c r="F100">
        <v>11</v>
      </c>
      <c r="G100" t="s">
        <v>41</v>
      </c>
      <c r="H100">
        <v>635.20000000000005</v>
      </c>
      <c r="I100">
        <v>814.14</v>
      </c>
      <c r="J100" t="s">
        <v>17</v>
      </c>
      <c r="K100">
        <v>0.02</v>
      </c>
      <c r="L100" t="s">
        <v>18</v>
      </c>
      <c r="M100" t="s">
        <v>19</v>
      </c>
      <c r="N100" t="s">
        <v>47</v>
      </c>
      <c r="O100" s="6">
        <f>SalesMaster[[#This Row],[Sales_Amount]]*SalesMaster[[#This Row],[Quantity_Sold]]</f>
        <v>57277.329999999994</v>
      </c>
      <c r="P100" s="6">
        <f>SalesMaster[[#This Row],[Quantity_Sold]]*SalesMaster[[#This Row],[Unit_Cost]]</f>
        <v>6987.2000000000007</v>
      </c>
      <c r="Q100" s="6">
        <f>SalesMaster[[#This Row],[Total_Sales]]-SalesMaster[[#This Row],[Total_Cost]]</f>
        <v>50290.12999999999</v>
      </c>
      <c r="R100" s="1">
        <f>IFERROR(SalesMaster[Net Profit]/SalesMaster[Total_Sales], 0)</f>
        <v>0.87801107349103036</v>
      </c>
      <c r="S100" t="str">
        <f>TEXT(SalesMaster[[#This Row],[Sale_Date]], "mmm")</f>
        <v>Jan</v>
      </c>
      <c r="T100" s="6" t="str">
        <f>IF(SalesMaster[Profit_Margin]&gt;=0.15, "Excellent", IF(SalesMaster[Profit_Margin]&gt;=0.05, "Average", "Needs Improvement"))</f>
        <v>Excellent</v>
      </c>
    </row>
    <row r="101" spans="1:20">
      <c r="A101">
        <v>1057</v>
      </c>
      <c r="B101" s="2">
        <v>44957</v>
      </c>
      <c r="C101" t="s">
        <v>21</v>
      </c>
      <c r="D101" t="s">
        <v>15</v>
      </c>
      <c r="E101">
        <v>975.01</v>
      </c>
      <c r="F101">
        <v>36</v>
      </c>
      <c r="G101" t="s">
        <v>41</v>
      </c>
      <c r="H101">
        <v>4995.3</v>
      </c>
      <c r="I101">
        <v>5165.09</v>
      </c>
      <c r="J101" t="s">
        <v>17</v>
      </c>
      <c r="K101">
        <v>0.24</v>
      </c>
      <c r="L101" t="s">
        <v>18</v>
      </c>
      <c r="M101" t="s">
        <v>19</v>
      </c>
      <c r="N101" t="s">
        <v>24</v>
      </c>
      <c r="O101" s="6">
        <f>SalesMaster[[#This Row],[Sales_Amount]]*SalesMaster[[#This Row],[Quantity_Sold]]</f>
        <v>35100.36</v>
      </c>
      <c r="P101" s="6">
        <f>SalesMaster[[#This Row],[Quantity_Sold]]*SalesMaster[[#This Row],[Unit_Cost]]</f>
        <v>179830.80000000002</v>
      </c>
      <c r="Q101" s="6">
        <f>SalesMaster[[#This Row],[Total_Sales]]-SalesMaster[[#This Row],[Total_Cost]]</f>
        <v>-144730.44</v>
      </c>
      <c r="R101" s="1">
        <f>IFERROR(SalesMaster[Net Profit]/SalesMaster[Total_Sales], 0)</f>
        <v>-4.1233320683890424</v>
      </c>
      <c r="S101" t="str">
        <f>TEXT(SalesMaster[[#This Row],[Sale_Date]], "mmm")</f>
        <v>Jan</v>
      </c>
      <c r="T101" s="6" t="str">
        <f>IF(SalesMaster[Profit_Margin]&gt;=0.15, "Excellent", IF(SalesMaster[Profit_Margin]&gt;=0.05, "Average", "Needs Improvement"))</f>
        <v>Needs Improvement</v>
      </c>
    </row>
    <row r="102" spans="1:20">
      <c r="A102">
        <v>1069</v>
      </c>
      <c r="B102" s="2">
        <v>44958</v>
      </c>
      <c r="C102" t="s">
        <v>14</v>
      </c>
      <c r="D102" t="s">
        <v>15</v>
      </c>
      <c r="E102">
        <v>2726.73</v>
      </c>
      <c r="F102">
        <v>18</v>
      </c>
      <c r="G102" t="s">
        <v>26</v>
      </c>
      <c r="H102">
        <v>2760.21</v>
      </c>
      <c r="I102">
        <v>3219.58</v>
      </c>
      <c r="J102" t="s">
        <v>22</v>
      </c>
      <c r="K102">
        <v>0.27</v>
      </c>
      <c r="L102" t="s">
        <v>27</v>
      </c>
      <c r="M102" t="s">
        <v>28</v>
      </c>
      <c r="N102" t="s">
        <v>20</v>
      </c>
      <c r="O102" s="6">
        <f>SalesMaster[[#This Row],[Sales_Amount]]*SalesMaster[[#This Row],[Quantity_Sold]]</f>
        <v>49081.14</v>
      </c>
      <c r="P102" s="6">
        <f>SalesMaster[[#This Row],[Quantity_Sold]]*SalesMaster[[#This Row],[Unit_Cost]]</f>
        <v>49683.78</v>
      </c>
      <c r="Q102" s="6">
        <f>SalesMaster[[#This Row],[Total_Sales]]-SalesMaster[[#This Row],[Total_Cost]]</f>
        <v>-602.63999999999942</v>
      </c>
      <c r="R102" s="1">
        <f>IFERROR(SalesMaster[Net Profit]/SalesMaster[Total_Sales], 0)</f>
        <v>-1.2278443410238626E-2</v>
      </c>
      <c r="S102" t="str">
        <f>TEXT(SalesMaster[[#This Row],[Sale_Date]], "mmm")</f>
        <v>Feb</v>
      </c>
      <c r="T102" s="6" t="str">
        <f>IF(SalesMaster[Profit_Margin]&gt;=0.15, "Excellent", IF(SalesMaster[Profit_Margin]&gt;=0.05, "Average", "Needs Improvement"))</f>
        <v>Needs Improvement</v>
      </c>
    </row>
    <row r="103" spans="1:20">
      <c r="A103">
        <v>1097</v>
      </c>
      <c r="B103" s="2">
        <v>44958</v>
      </c>
      <c r="C103" t="s">
        <v>42</v>
      </c>
      <c r="D103" t="s">
        <v>33</v>
      </c>
      <c r="E103">
        <v>1099.68</v>
      </c>
      <c r="F103">
        <v>27</v>
      </c>
      <c r="G103" t="s">
        <v>31</v>
      </c>
      <c r="H103">
        <v>3955.19</v>
      </c>
      <c r="I103">
        <v>4393.68</v>
      </c>
      <c r="J103" t="s">
        <v>17</v>
      </c>
      <c r="K103">
        <v>0.04</v>
      </c>
      <c r="L103" t="s">
        <v>23</v>
      </c>
      <c r="M103" t="s">
        <v>19</v>
      </c>
      <c r="N103" t="s">
        <v>50</v>
      </c>
      <c r="O103" s="6">
        <f>SalesMaster[[#This Row],[Sales_Amount]]*SalesMaster[[#This Row],[Quantity_Sold]]</f>
        <v>29691.360000000001</v>
      </c>
      <c r="P103" s="6">
        <f>SalesMaster[[#This Row],[Quantity_Sold]]*SalesMaster[[#This Row],[Unit_Cost]]</f>
        <v>106790.13</v>
      </c>
      <c r="Q103" s="6">
        <f>SalesMaster[[#This Row],[Total_Sales]]-SalesMaster[[#This Row],[Total_Cost]]</f>
        <v>-77098.77</v>
      </c>
      <c r="R103" s="1">
        <f>IFERROR(SalesMaster[Net Profit]/SalesMaster[Total_Sales], 0)</f>
        <v>-2.5966735777680783</v>
      </c>
      <c r="S103" t="str">
        <f>TEXT(SalesMaster[[#This Row],[Sale_Date]], "mmm")</f>
        <v>Feb</v>
      </c>
      <c r="T103" s="6" t="str">
        <f>IF(SalesMaster[Profit_Margin]&gt;=0.15, "Excellent", IF(SalesMaster[Profit_Margin]&gt;=0.05, "Average", "Needs Improvement"))</f>
        <v>Needs Improvement</v>
      </c>
    </row>
    <row r="104" spans="1:20">
      <c r="A104">
        <v>1096</v>
      </c>
      <c r="B104" s="2">
        <v>44959</v>
      </c>
      <c r="C104" t="s">
        <v>42</v>
      </c>
      <c r="D104" t="s">
        <v>36</v>
      </c>
      <c r="E104">
        <v>9289</v>
      </c>
      <c r="F104">
        <v>31</v>
      </c>
      <c r="G104" t="s">
        <v>31</v>
      </c>
      <c r="H104">
        <v>1724.24</v>
      </c>
      <c r="I104">
        <v>2036.2</v>
      </c>
      <c r="J104" t="s">
        <v>22</v>
      </c>
      <c r="K104">
        <v>0.17</v>
      </c>
      <c r="L104" t="s">
        <v>18</v>
      </c>
      <c r="M104" t="s">
        <v>19</v>
      </c>
      <c r="N104" t="s">
        <v>43</v>
      </c>
      <c r="O104" s="6">
        <f>SalesMaster[[#This Row],[Sales_Amount]]*SalesMaster[[#This Row],[Quantity_Sold]]</f>
        <v>287959</v>
      </c>
      <c r="P104" s="6">
        <f>SalesMaster[[#This Row],[Quantity_Sold]]*SalesMaster[[#This Row],[Unit_Cost]]</f>
        <v>53451.44</v>
      </c>
      <c r="Q104" s="6">
        <f>SalesMaster[[#This Row],[Total_Sales]]-SalesMaster[[#This Row],[Total_Cost]]</f>
        <v>234507.56</v>
      </c>
      <c r="R104" s="1">
        <f>IFERROR(SalesMaster[Net Profit]/SalesMaster[Total_Sales], 0)</f>
        <v>0.81437829691032404</v>
      </c>
      <c r="S104" t="str">
        <f>TEXT(SalesMaster[[#This Row],[Sale_Date]], "mmm")</f>
        <v>Feb</v>
      </c>
      <c r="T104" s="6" t="str">
        <f>IF(SalesMaster[Profit_Margin]&gt;=0.15, "Excellent", IF(SalesMaster[Profit_Margin]&gt;=0.05, "Average", "Needs Improvement"))</f>
        <v>Excellent</v>
      </c>
    </row>
    <row r="105" spans="1:20">
      <c r="A105">
        <v>1052</v>
      </c>
      <c r="B105" s="2">
        <v>44960</v>
      </c>
      <c r="C105" t="s">
        <v>35</v>
      </c>
      <c r="D105" t="s">
        <v>15</v>
      </c>
      <c r="E105">
        <v>5053.97</v>
      </c>
      <c r="F105">
        <v>18</v>
      </c>
      <c r="G105" t="s">
        <v>26</v>
      </c>
      <c r="H105">
        <v>152.75</v>
      </c>
      <c r="I105">
        <v>267.22000000000003</v>
      </c>
      <c r="J105" t="s">
        <v>17</v>
      </c>
      <c r="K105">
        <v>0.09</v>
      </c>
      <c r="L105" t="s">
        <v>18</v>
      </c>
      <c r="M105" t="s">
        <v>19</v>
      </c>
      <c r="N105" t="s">
        <v>44</v>
      </c>
      <c r="O105" s="6">
        <f>SalesMaster[[#This Row],[Sales_Amount]]*SalesMaster[[#This Row],[Quantity_Sold]]</f>
        <v>90971.46</v>
      </c>
      <c r="P105" s="6">
        <f>SalesMaster[[#This Row],[Quantity_Sold]]*SalesMaster[[#This Row],[Unit_Cost]]</f>
        <v>2749.5</v>
      </c>
      <c r="Q105" s="6">
        <f>SalesMaster[[#This Row],[Total_Sales]]-SalesMaster[[#This Row],[Total_Cost]]</f>
        <v>88221.96</v>
      </c>
      <c r="R105" s="1">
        <f>IFERROR(SalesMaster[Net Profit]/SalesMaster[Total_Sales], 0)</f>
        <v>0.9697762353159991</v>
      </c>
      <c r="S105" t="str">
        <f>TEXT(SalesMaster[[#This Row],[Sale_Date]], "mmm")</f>
        <v>Feb</v>
      </c>
      <c r="T105" s="6" t="str">
        <f>IF(SalesMaster[Profit_Margin]&gt;=0.15, "Excellent", IF(SalesMaster[Profit_Margin]&gt;=0.05, "Average", "Needs Improvement"))</f>
        <v>Excellent</v>
      </c>
    </row>
    <row r="106" spans="1:20">
      <c r="A106">
        <v>1013</v>
      </c>
      <c r="B106" s="2">
        <v>44960</v>
      </c>
      <c r="C106" t="s">
        <v>35</v>
      </c>
      <c r="D106" t="s">
        <v>15</v>
      </c>
      <c r="E106">
        <v>6520.2</v>
      </c>
      <c r="F106">
        <v>42</v>
      </c>
      <c r="G106" t="s">
        <v>16</v>
      </c>
      <c r="H106">
        <v>4625.33</v>
      </c>
      <c r="I106">
        <v>4642.83</v>
      </c>
      <c r="J106" t="s">
        <v>22</v>
      </c>
      <c r="K106">
        <v>0.19</v>
      </c>
      <c r="L106" t="s">
        <v>23</v>
      </c>
      <c r="M106" t="s">
        <v>19</v>
      </c>
      <c r="N106" t="s">
        <v>44</v>
      </c>
      <c r="O106" s="6">
        <f>SalesMaster[[#This Row],[Sales_Amount]]*SalesMaster[[#This Row],[Quantity_Sold]]</f>
        <v>273848.39999999997</v>
      </c>
      <c r="P106" s="6">
        <f>SalesMaster[[#This Row],[Quantity_Sold]]*SalesMaster[[#This Row],[Unit_Cost]]</f>
        <v>194263.86</v>
      </c>
      <c r="Q106" s="6">
        <f>SalesMaster[[#This Row],[Total_Sales]]-SalesMaster[[#This Row],[Total_Cost]]</f>
        <v>79584.539999999979</v>
      </c>
      <c r="R106" s="1">
        <f>IFERROR(SalesMaster[Net Profit]/SalesMaster[Total_Sales], 0)</f>
        <v>0.29061531854851075</v>
      </c>
      <c r="S106" t="str">
        <f>TEXT(SalesMaster[[#This Row],[Sale_Date]], "mmm")</f>
        <v>Feb</v>
      </c>
      <c r="T106" s="6" t="str">
        <f>IF(SalesMaster[Profit_Margin]&gt;=0.15, "Excellent", IF(SalesMaster[Profit_Margin]&gt;=0.05, "Average", "Needs Improvement"))</f>
        <v>Excellent</v>
      </c>
    </row>
    <row r="107" spans="1:20">
      <c r="A107">
        <v>1035</v>
      </c>
      <c r="B107" s="2">
        <v>44960</v>
      </c>
      <c r="C107" t="s">
        <v>21</v>
      </c>
      <c r="D107" t="s">
        <v>15</v>
      </c>
      <c r="E107">
        <v>1736.32</v>
      </c>
      <c r="F107">
        <v>5</v>
      </c>
      <c r="G107" t="s">
        <v>41</v>
      </c>
      <c r="H107">
        <v>4483.8500000000004</v>
      </c>
      <c r="I107">
        <v>4795.42</v>
      </c>
      <c r="J107" t="s">
        <v>17</v>
      </c>
      <c r="K107">
        <v>0.23</v>
      </c>
      <c r="L107" t="s">
        <v>18</v>
      </c>
      <c r="M107" t="s">
        <v>19</v>
      </c>
      <c r="N107" t="s">
        <v>24</v>
      </c>
      <c r="O107" s="6">
        <f>SalesMaster[[#This Row],[Sales_Amount]]*SalesMaster[[#This Row],[Quantity_Sold]]</f>
        <v>8681.6</v>
      </c>
      <c r="P107" s="6">
        <f>SalesMaster[[#This Row],[Quantity_Sold]]*SalesMaster[[#This Row],[Unit_Cost]]</f>
        <v>22419.25</v>
      </c>
      <c r="Q107" s="6">
        <f>SalesMaster[[#This Row],[Total_Sales]]-SalesMaster[[#This Row],[Total_Cost]]</f>
        <v>-13737.65</v>
      </c>
      <c r="R107" s="1">
        <f>IFERROR(SalesMaster[Net Profit]/SalesMaster[Total_Sales], 0)</f>
        <v>-1.5823868872097309</v>
      </c>
      <c r="S107" t="str">
        <f>TEXT(SalesMaster[[#This Row],[Sale_Date]], "mmm")</f>
        <v>Feb</v>
      </c>
      <c r="T107" s="6" t="str">
        <f>IF(SalesMaster[Profit_Margin]&gt;=0.15, "Excellent", IF(SalesMaster[Profit_Margin]&gt;=0.05, "Average", "Needs Improvement"))</f>
        <v>Needs Improvement</v>
      </c>
    </row>
    <row r="108" spans="1:20">
      <c r="A108">
        <v>1026</v>
      </c>
      <c r="B108" s="2">
        <v>44961</v>
      </c>
      <c r="C108" t="s">
        <v>42</v>
      </c>
      <c r="D108" t="s">
        <v>33</v>
      </c>
      <c r="E108">
        <v>1554.93</v>
      </c>
      <c r="F108">
        <v>19</v>
      </c>
      <c r="G108" t="s">
        <v>31</v>
      </c>
      <c r="H108">
        <v>1265.48</v>
      </c>
      <c r="I108">
        <v>1715.83</v>
      </c>
      <c r="J108" t="s">
        <v>22</v>
      </c>
      <c r="K108">
        <v>0.05</v>
      </c>
      <c r="L108" t="s">
        <v>23</v>
      </c>
      <c r="M108" t="s">
        <v>28</v>
      </c>
      <c r="N108" t="s">
        <v>50</v>
      </c>
      <c r="O108" s="6">
        <f>SalesMaster[[#This Row],[Sales_Amount]]*SalesMaster[[#This Row],[Quantity_Sold]]</f>
        <v>29543.670000000002</v>
      </c>
      <c r="P108" s="6">
        <f>SalesMaster[[#This Row],[Quantity_Sold]]*SalesMaster[[#This Row],[Unit_Cost]]</f>
        <v>24044.12</v>
      </c>
      <c r="Q108" s="6">
        <f>SalesMaster[[#This Row],[Total_Sales]]-SalesMaster[[#This Row],[Total_Cost]]</f>
        <v>5499.5500000000029</v>
      </c>
      <c r="R108" s="1">
        <f>IFERROR(SalesMaster[Net Profit]/SalesMaster[Total_Sales], 0)</f>
        <v>0.18614985883608917</v>
      </c>
      <c r="S108" t="str">
        <f>TEXT(SalesMaster[[#This Row],[Sale_Date]], "mmm")</f>
        <v>Feb</v>
      </c>
      <c r="T108" s="6" t="str">
        <f>IF(SalesMaster[Profit_Margin]&gt;=0.15, "Excellent", IF(SalesMaster[Profit_Margin]&gt;=0.05, "Average", "Needs Improvement"))</f>
        <v>Excellent</v>
      </c>
    </row>
    <row r="109" spans="1:20">
      <c r="A109">
        <v>1038</v>
      </c>
      <c r="B109" s="2">
        <v>44961</v>
      </c>
      <c r="C109" t="s">
        <v>21</v>
      </c>
      <c r="D109" t="s">
        <v>15</v>
      </c>
      <c r="E109">
        <v>8753.31</v>
      </c>
      <c r="F109">
        <v>7</v>
      </c>
      <c r="G109" t="s">
        <v>26</v>
      </c>
      <c r="H109">
        <v>523.02</v>
      </c>
      <c r="I109">
        <v>686.25</v>
      </c>
      <c r="J109" t="s">
        <v>17</v>
      </c>
      <c r="K109">
        <v>0.04</v>
      </c>
      <c r="L109" t="s">
        <v>18</v>
      </c>
      <c r="M109" t="s">
        <v>19</v>
      </c>
      <c r="N109" t="s">
        <v>24</v>
      </c>
      <c r="O109" s="6">
        <f>SalesMaster[[#This Row],[Sales_Amount]]*SalesMaster[[#This Row],[Quantity_Sold]]</f>
        <v>61273.17</v>
      </c>
      <c r="P109" s="6">
        <f>SalesMaster[[#This Row],[Quantity_Sold]]*SalesMaster[[#This Row],[Unit_Cost]]</f>
        <v>3661.14</v>
      </c>
      <c r="Q109" s="6">
        <f>SalesMaster[[#This Row],[Total_Sales]]-SalesMaster[[#This Row],[Total_Cost]]</f>
        <v>57612.03</v>
      </c>
      <c r="R109" s="1">
        <f>IFERROR(SalesMaster[Net Profit]/SalesMaster[Total_Sales], 0)</f>
        <v>0.9402488887061009</v>
      </c>
      <c r="S109" t="str">
        <f>TEXT(SalesMaster[[#This Row],[Sale_Date]], "mmm")</f>
        <v>Feb</v>
      </c>
      <c r="T109" s="6" t="str">
        <f>IF(SalesMaster[Profit_Margin]&gt;=0.15, "Excellent", IF(SalesMaster[Profit_Margin]&gt;=0.05, "Average", "Needs Improvement"))</f>
        <v>Excellent</v>
      </c>
    </row>
    <row r="110" spans="1:20">
      <c r="A110">
        <v>1080</v>
      </c>
      <c r="B110" s="2">
        <v>44962</v>
      </c>
      <c r="C110" t="s">
        <v>21</v>
      </c>
      <c r="D110" t="s">
        <v>25</v>
      </c>
      <c r="E110">
        <v>245.46</v>
      </c>
      <c r="F110">
        <v>9</v>
      </c>
      <c r="G110" t="s">
        <v>31</v>
      </c>
      <c r="H110">
        <v>1141.52</v>
      </c>
      <c r="I110">
        <v>1550.19</v>
      </c>
      <c r="J110" t="s">
        <v>22</v>
      </c>
      <c r="K110">
        <v>0.28000000000000003</v>
      </c>
      <c r="L110" t="s">
        <v>23</v>
      </c>
      <c r="M110" t="s">
        <v>28</v>
      </c>
      <c r="N110" t="s">
        <v>51</v>
      </c>
      <c r="O110" s="6">
        <f>SalesMaster[[#This Row],[Sales_Amount]]*SalesMaster[[#This Row],[Quantity_Sold]]</f>
        <v>2209.14</v>
      </c>
      <c r="P110" s="6">
        <f>SalesMaster[[#This Row],[Quantity_Sold]]*SalesMaster[[#This Row],[Unit_Cost]]</f>
        <v>10273.68</v>
      </c>
      <c r="Q110" s="6">
        <f>SalesMaster[[#This Row],[Total_Sales]]-SalesMaster[[#This Row],[Total_Cost]]</f>
        <v>-8064.5400000000009</v>
      </c>
      <c r="R110" s="1">
        <f>IFERROR(SalesMaster[Net Profit]/SalesMaster[Total_Sales], 0)</f>
        <v>-3.6505336918438855</v>
      </c>
      <c r="S110" t="str">
        <f>TEXT(SalesMaster[[#This Row],[Sale_Date]], "mmm")</f>
        <v>Feb</v>
      </c>
      <c r="T110" s="6" t="str">
        <f>IF(SalesMaster[Profit_Margin]&gt;=0.15, "Excellent", IF(SalesMaster[Profit_Margin]&gt;=0.05, "Average", "Needs Improvement"))</f>
        <v>Needs Improvement</v>
      </c>
    </row>
    <row r="111" spans="1:20">
      <c r="A111">
        <v>1048</v>
      </c>
      <c r="B111" s="2">
        <v>44962</v>
      </c>
      <c r="C111" t="s">
        <v>30</v>
      </c>
      <c r="D111" t="s">
        <v>15</v>
      </c>
      <c r="E111">
        <v>9070.26</v>
      </c>
      <c r="F111">
        <v>42</v>
      </c>
      <c r="G111" t="s">
        <v>31</v>
      </c>
      <c r="H111">
        <v>4723.83</v>
      </c>
      <c r="I111">
        <v>5186.1899999999996</v>
      </c>
      <c r="J111" t="s">
        <v>17</v>
      </c>
      <c r="K111">
        <v>0.22</v>
      </c>
      <c r="L111" t="s">
        <v>23</v>
      </c>
      <c r="M111" t="s">
        <v>19</v>
      </c>
      <c r="N111" t="s">
        <v>53</v>
      </c>
      <c r="O111" s="6">
        <f>SalesMaster[[#This Row],[Sales_Amount]]*SalesMaster[[#This Row],[Quantity_Sold]]</f>
        <v>380950.92</v>
      </c>
      <c r="P111" s="6">
        <f>SalesMaster[[#This Row],[Quantity_Sold]]*SalesMaster[[#This Row],[Unit_Cost]]</f>
        <v>198400.86</v>
      </c>
      <c r="Q111" s="6">
        <f>SalesMaster[[#This Row],[Total_Sales]]-SalesMaster[[#This Row],[Total_Cost]]</f>
        <v>182550.06</v>
      </c>
      <c r="R111" s="1">
        <f>IFERROR(SalesMaster[Net Profit]/SalesMaster[Total_Sales], 0)</f>
        <v>0.47919574521568292</v>
      </c>
      <c r="S111" t="str">
        <f>TEXT(SalesMaster[[#This Row],[Sale_Date]], "mmm")</f>
        <v>Feb</v>
      </c>
      <c r="T111" s="6" t="str">
        <f>IF(SalesMaster[Profit_Margin]&gt;=0.15, "Excellent", IF(SalesMaster[Profit_Margin]&gt;=0.05, "Average", "Needs Improvement"))</f>
        <v>Excellent</v>
      </c>
    </row>
    <row r="112" spans="1:20">
      <c r="A112">
        <v>1030</v>
      </c>
      <c r="B112" s="2">
        <v>44962</v>
      </c>
      <c r="C112" t="s">
        <v>30</v>
      </c>
      <c r="D112" t="s">
        <v>36</v>
      </c>
      <c r="E112">
        <v>236.08</v>
      </c>
      <c r="F112">
        <v>49</v>
      </c>
      <c r="G112" t="s">
        <v>26</v>
      </c>
      <c r="H112">
        <v>2590.29</v>
      </c>
      <c r="I112">
        <v>2925.86</v>
      </c>
      <c r="J112" t="s">
        <v>17</v>
      </c>
      <c r="K112">
        <v>0.26</v>
      </c>
      <c r="L112" t="s">
        <v>18</v>
      </c>
      <c r="M112" t="s">
        <v>28</v>
      </c>
      <c r="N112" t="s">
        <v>46</v>
      </c>
      <c r="O112" s="6">
        <f>SalesMaster[[#This Row],[Sales_Amount]]*SalesMaster[[#This Row],[Quantity_Sold]]</f>
        <v>11567.92</v>
      </c>
      <c r="P112" s="6">
        <f>SalesMaster[[#This Row],[Quantity_Sold]]*SalesMaster[[#This Row],[Unit_Cost]]</f>
        <v>126924.20999999999</v>
      </c>
      <c r="Q112" s="6">
        <f>SalesMaster[[#This Row],[Total_Sales]]-SalesMaster[[#This Row],[Total_Cost]]</f>
        <v>-115356.29</v>
      </c>
      <c r="R112" s="1">
        <f>IFERROR(SalesMaster[Net Profit]/SalesMaster[Total_Sales], 0)</f>
        <v>-9.9720857336496103</v>
      </c>
      <c r="S112" t="str">
        <f>TEXT(SalesMaster[[#This Row],[Sale_Date]], "mmm")</f>
        <v>Feb</v>
      </c>
      <c r="T112" s="6" t="str">
        <f>IF(SalesMaster[Profit_Margin]&gt;=0.15, "Excellent", IF(SalesMaster[Profit_Margin]&gt;=0.05, "Average", "Needs Improvement"))</f>
        <v>Needs Improvement</v>
      </c>
    </row>
    <row r="113" spans="1:20">
      <c r="A113">
        <v>1036</v>
      </c>
      <c r="B113" s="2">
        <v>44963</v>
      </c>
      <c r="C113" t="s">
        <v>21</v>
      </c>
      <c r="D113" t="s">
        <v>36</v>
      </c>
      <c r="E113">
        <v>6242.69</v>
      </c>
      <c r="F113">
        <v>26</v>
      </c>
      <c r="G113" t="s">
        <v>31</v>
      </c>
      <c r="H113">
        <v>4266.3599999999997</v>
      </c>
      <c r="I113">
        <v>4331.4299999999903</v>
      </c>
      <c r="J113" t="s">
        <v>17</v>
      </c>
      <c r="K113">
        <v>0.14000000000000001</v>
      </c>
      <c r="L113" t="s">
        <v>23</v>
      </c>
      <c r="M113" t="s">
        <v>28</v>
      </c>
      <c r="N113" t="s">
        <v>38</v>
      </c>
      <c r="O113" s="6">
        <f>SalesMaster[[#This Row],[Sales_Amount]]*SalesMaster[[#This Row],[Quantity_Sold]]</f>
        <v>162309.94</v>
      </c>
      <c r="P113" s="6">
        <f>SalesMaster[[#This Row],[Quantity_Sold]]*SalesMaster[[#This Row],[Unit_Cost]]</f>
        <v>110925.35999999999</v>
      </c>
      <c r="Q113" s="6">
        <f>SalesMaster[[#This Row],[Total_Sales]]-SalesMaster[[#This Row],[Total_Cost]]</f>
        <v>51384.580000000016</v>
      </c>
      <c r="R113" s="1">
        <f>IFERROR(SalesMaster[Net Profit]/SalesMaster[Total_Sales], 0)</f>
        <v>0.31658307556518112</v>
      </c>
      <c r="S113" t="str">
        <f>TEXT(SalesMaster[[#This Row],[Sale_Date]], "mmm")</f>
        <v>Feb</v>
      </c>
      <c r="T113" s="6" t="str">
        <f>IF(SalesMaster[Profit_Margin]&gt;=0.15, "Excellent", IF(SalesMaster[Profit_Margin]&gt;=0.05, "Average", "Needs Improvement"))</f>
        <v>Excellent</v>
      </c>
    </row>
    <row r="114" spans="1:20">
      <c r="A114">
        <v>1027</v>
      </c>
      <c r="B114" s="2">
        <v>44963</v>
      </c>
      <c r="C114" t="s">
        <v>14</v>
      </c>
      <c r="D114" t="s">
        <v>33</v>
      </c>
      <c r="E114">
        <v>3668.23</v>
      </c>
      <c r="F114">
        <v>45</v>
      </c>
      <c r="G114" t="s">
        <v>41</v>
      </c>
      <c r="H114">
        <v>1153.9000000000001</v>
      </c>
      <c r="I114">
        <v>1485.34</v>
      </c>
      <c r="J114" t="s">
        <v>22</v>
      </c>
      <c r="K114">
        <v>0.25</v>
      </c>
      <c r="L114" t="s">
        <v>23</v>
      </c>
      <c r="M114" t="s">
        <v>28</v>
      </c>
      <c r="N114" t="s">
        <v>45</v>
      </c>
      <c r="O114" s="6">
        <f>SalesMaster[[#This Row],[Sales_Amount]]*SalesMaster[[#This Row],[Quantity_Sold]]</f>
        <v>165070.35</v>
      </c>
      <c r="P114" s="6">
        <f>SalesMaster[[#This Row],[Quantity_Sold]]*SalesMaster[[#This Row],[Unit_Cost]]</f>
        <v>51925.500000000007</v>
      </c>
      <c r="Q114" s="6">
        <f>SalesMaster[[#This Row],[Total_Sales]]-SalesMaster[[#This Row],[Total_Cost]]</f>
        <v>113144.85</v>
      </c>
      <c r="R114" s="1">
        <f>IFERROR(SalesMaster[Net Profit]/SalesMaster[Total_Sales], 0)</f>
        <v>0.68543411945270605</v>
      </c>
      <c r="S114" t="str">
        <f>TEXT(SalesMaster[[#This Row],[Sale_Date]], "mmm")</f>
        <v>Feb</v>
      </c>
      <c r="T114" s="6" t="str">
        <f>IF(SalesMaster[Profit_Margin]&gt;=0.15, "Excellent", IF(SalesMaster[Profit_Margin]&gt;=0.05, "Average", "Needs Improvement"))</f>
        <v>Excellent</v>
      </c>
    </row>
    <row r="115" spans="1:20">
      <c r="A115">
        <v>1026</v>
      </c>
      <c r="B115" s="2">
        <v>44963</v>
      </c>
      <c r="C115" t="s">
        <v>35</v>
      </c>
      <c r="D115" t="s">
        <v>33</v>
      </c>
      <c r="E115">
        <v>961.47</v>
      </c>
      <c r="F115">
        <v>34</v>
      </c>
      <c r="G115" t="s">
        <v>31</v>
      </c>
      <c r="H115">
        <v>68.33</v>
      </c>
      <c r="I115">
        <v>219.07999999999899</v>
      </c>
      <c r="J115" t="s">
        <v>22</v>
      </c>
      <c r="K115">
        <v>0.02</v>
      </c>
      <c r="L115" t="s">
        <v>23</v>
      </c>
      <c r="M115" t="s">
        <v>19</v>
      </c>
      <c r="N115" t="s">
        <v>52</v>
      </c>
      <c r="O115" s="6">
        <f>SalesMaster[[#This Row],[Sales_Amount]]*SalesMaster[[#This Row],[Quantity_Sold]]</f>
        <v>32689.98</v>
      </c>
      <c r="P115" s="6">
        <f>SalesMaster[[#This Row],[Quantity_Sold]]*SalesMaster[[#This Row],[Unit_Cost]]</f>
        <v>2323.2199999999998</v>
      </c>
      <c r="Q115" s="6">
        <f>SalesMaster[[#This Row],[Total_Sales]]-SalesMaster[[#This Row],[Total_Cost]]</f>
        <v>30366.76</v>
      </c>
      <c r="R115" s="1">
        <f>IFERROR(SalesMaster[Net Profit]/SalesMaster[Total_Sales], 0)</f>
        <v>0.92893173993988365</v>
      </c>
      <c r="S115" t="str">
        <f>TEXT(SalesMaster[[#This Row],[Sale_Date]], "mmm")</f>
        <v>Feb</v>
      </c>
      <c r="T115" s="6" t="str">
        <f>IF(SalesMaster[Profit_Margin]&gt;=0.15, "Excellent", IF(SalesMaster[Profit_Margin]&gt;=0.05, "Average", "Needs Improvement"))</f>
        <v>Excellent</v>
      </c>
    </row>
    <row r="116" spans="1:20">
      <c r="A116">
        <v>1081</v>
      </c>
      <c r="B116" s="2">
        <v>44964</v>
      </c>
      <c r="C116" t="s">
        <v>30</v>
      </c>
      <c r="D116" t="s">
        <v>36</v>
      </c>
      <c r="E116">
        <v>3068.03</v>
      </c>
      <c r="F116">
        <v>41</v>
      </c>
      <c r="G116" t="s">
        <v>26</v>
      </c>
      <c r="H116">
        <v>2782.08</v>
      </c>
      <c r="I116">
        <v>2879.24</v>
      </c>
      <c r="J116" t="s">
        <v>22</v>
      </c>
      <c r="K116">
        <v>0.21</v>
      </c>
      <c r="L116" t="s">
        <v>27</v>
      </c>
      <c r="M116" t="s">
        <v>19</v>
      </c>
      <c r="N116" t="s">
        <v>46</v>
      </c>
      <c r="O116" s="6">
        <f>SalesMaster[[#This Row],[Sales_Amount]]*SalesMaster[[#This Row],[Quantity_Sold]]</f>
        <v>125789.23000000001</v>
      </c>
      <c r="P116" s="6">
        <f>SalesMaster[[#This Row],[Quantity_Sold]]*SalesMaster[[#This Row],[Unit_Cost]]</f>
        <v>114065.28</v>
      </c>
      <c r="Q116" s="6">
        <f>SalesMaster[[#This Row],[Total_Sales]]-SalesMaster[[#This Row],[Total_Cost]]</f>
        <v>11723.950000000012</v>
      </c>
      <c r="R116" s="1">
        <f>IFERROR(SalesMaster[Net Profit]/SalesMaster[Total_Sales], 0)</f>
        <v>9.3203130347486909E-2</v>
      </c>
      <c r="S116" t="str">
        <f>TEXT(SalesMaster[[#This Row],[Sale_Date]], "mmm")</f>
        <v>Feb</v>
      </c>
      <c r="T116" s="6" t="str">
        <f>IF(SalesMaster[Profit_Margin]&gt;=0.15, "Excellent", IF(SalesMaster[Profit_Margin]&gt;=0.05, "Average", "Needs Improvement"))</f>
        <v>Average</v>
      </c>
    </row>
    <row r="117" spans="1:20">
      <c r="A117">
        <v>1072</v>
      </c>
      <c r="B117" s="2">
        <v>44964</v>
      </c>
      <c r="C117" t="s">
        <v>35</v>
      </c>
      <c r="D117" t="s">
        <v>36</v>
      </c>
      <c r="E117">
        <v>5490.38</v>
      </c>
      <c r="F117">
        <v>26</v>
      </c>
      <c r="G117" t="s">
        <v>41</v>
      </c>
      <c r="H117">
        <v>3640.17</v>
      </c>
      <c r="I117">
        <v>4002.63</v>
      </c>
      <c r="J117" t="s">
        <v>22</v>
      </c>
      <c r="K117">
        <v>0.05</v>
      </c>
      <c r="L117" t="s">
        <v>23</v>
      </c>
      <c r="M117" t="s">
        <v>28</v>
      </c>
      <c r="N117" t="s">
        <v>37</v>
      </c>
      <c r="O117" s="6">
        <f>SalesMaster[[#This Row],[Sales_Amount]]*SalesMaster[[#This Row],[Quantity_Sold]]</f>
        <v>142749.88</v>
      </c>
      <c r="P117" s="6">
        <f>SalesMaster[[#This Row],[Quantity_Sold]]*SalesMaster[[#This Row],[Unit_Cost]]</f>
        <v>94644.42</v>
      </c>
      <c r="Q117" s="6">
        <f>SalesMaster[[#This Row],[Total_Sales]]-SalesMaster[[#This Row],[Total_Cost]]</f>
        <v>48105.460000000006</v>
      </c>
      <c r="R117" s="1">
        <f>IFERROR(SalesMaster[Net Profit]/SalesMaster[Total_Sales], 0)</f>
        <v>0.33699124650752776</v>
      </c>
      <c r="S117" t="str">
        <f>TEXT(SalesMaster[[#This Row],[Sale_Date]], "mmm")</f>
        <v>Feb</v>
      </c>
      <c r="T117" s="6" t="str">
        <f>IF(SalesMaster[Profit_Margin]&gt;=0.15, "Excellent", IF(SalesMaster[Profit_Margin]&gt;=0.05, "Average", "Needs Improvement"))</f>
        <v>Excellent</v>
      </c>
    </row>
    <row r="118" spans="1:20">
      <c r="A118">
        <v>1077</v>
      </c>
      <c r="B118" s="2">
        <v>44964</v>
      </c>
      <c r="C118" t="s">
        <v>14</v>
      </c>
      <c r="D118" t="s">
        <v>33</v>
      </c>
      <c r="E118">
        <v>9605.34</v>
      </c>
      <c r="F118">
        <v>12</v>
      </c>
      <c r="G118" t="s">
        <v>16</v>
      </c>
      <c r="H118">
        <v>2427.46</v>
      </c>
      <c r="I118">
        <v>2743.09</v>
      </c>
      <c r="J118" t="s">
        <v>22</v>
      </c>
      <c r="K118">
        <v>0.28999999999999998</v>
      </c>
      <c r="L118" t="s">
        <v>23</v>
      </c>
      <c r="M118" t="s">
        <v>28</v>
      </c>
      <c r="N118" t="s">
        <v>45</v>
      </c>
      <c r="O118" s="6">
        <f>SalesMaster[[#This Row],[Sales_Amount]]*SalesMaster[[#This Row],[Quantity_Sold]]</f>
        <v>115264.08</v>
      </c>
      <c r="P118" s="6">
        <f>SalesMaster[[#This Row],[Quantity_Sold]]*SalesMaster[[#This Row],[Unit_Cost]]</f>
        <v>29129.52</v>
      </c>
      <c r="Q118" s="6">
        <f>SalesMaster[[#This Row],[Total_Sales]]-SalesMaster[[#This Row],[Total_Cost]]</f>
        <v>86134.56</v>
      </c>
      <c r="R118" s="1">
        <f>IFERROR(SalesMaster[Net Profit]/SalesMaster[Total_Sales], 0)</f>
        <v>0.7472801587450314</v>
      </c>
      <c r="S118" t="str">
        <f>TEXT(SalesMaster[[#This Row],[Sale_Date]], "mmm")</f>
        <v>Feb</v>
      </c>
      <c r="T118" s="6" t="str">
        <f>IF(SalesMaster[Profit_Margin]&gt;=0.15, "Excellent", IF(SalesMaster[Profit_Margin]&gt;=0.05, "Average", "Needs Improvement"))</f>
        <v>Excellent</v>
      </c>
    </row>
    <row r="119" spans="1:20">
      <c r="A119">
        <v>1027</v>
      </c>
      <c r="B119" s="2">
        <v>44964</v>
      </c>
      <c r="C119" t="s">
        <v>35</v>
      </c>
      <c r="D119" t="s">
        <v>33</v>
      </c>
      <c r="E119">
        <v>7896.74</v>
      </c>
      <c r="F119">
        <v>3</v>
      </c>
      <c r="G119" t="s">
        <v>41</v>
      </c>
      <c r="H119">
        <v>999.09</v>
      </c>
      <c r="I119">
        <v>1271.99</v>
      </c>
      <c r="J119" t="s">
        <v>22</v>
      </c>
      <c r="K119">
        <v>0.15</v>
      </c>
      <c r="L119" t="s">
        <v>23</v>
      </c>
      <c r="M119" t="s">
        <v>19</v>
      </c>
      <c r="N119" t="s">
        <v>52</v>
      </c>
      <c r="O119" s="6">
        <f>SalesMaster[[#This Row],[Sales_Amount]]*SalesMaster[[#This Row],[Quantity_Sold]]</f>
        <v>23690.22</v>
      </c>
      <c r="P119" s="6">
        <f>SalesMaster[[#This Row],[Quantity_Sold]]*SalesMaster[[#This Row],[Unit_Cost]]</f>
        <v>2997.27</v>
      </c>
      <c r="Q119" s="6">
        <f>SalesMaster[[#This Row],[Total_Sales]]-SalesMaster[[#This Row],[Total_Cost]]</f>
        <v>20692.95</v>
      </c>
      <c r="R119" s="1">
        <f>IFERROR(SalesMaster[Net Profit]/SalesMaster[Total_Sales], 0)</f>
        <v>0.87348070216317109</v>
      </c>
      <c r="S119" t="str">
        <f>TEXT(SalesMaster[[#This Row],[Sale_Date]], "mmm")</f>
        <v>Feb</v>
      </c>
      <c r="T119" s="6" t="str">
        <f>IF(SalesMaster[Profit_Margin]&gt;=0.15, "Excellent", IF(SalesMaster[Profit_Margin]&gt;=0.05, "Average", "Needs Improvement"))</f>
        <v>Excellent</v>
      </c>
    </row>
    <row r="120" spans="1:20">
      <c r="A120">
        <v>1017</v>
      </c>
      <c r="B120" s="2">
        <v>44964</v>
      </c>
      <c r="C120" t="s">
        <v>21</v>
      </c>
      <c r="D120" t="s">
        <v>33</v>
      </c>
      <c r="E120">
        <v>7542.3</v>
      </c>
      <c r="F120">
        <v>2</v>
      </c>
      <c r="G120" t="s">
        <v>41</v>
      </c>
      <c r="H120">
        <v>728.41</v>
      </c>
      <c r="I120">
        <v>1094.92</v>
      </c>
      <c r="J120" t="s">
        <v>22</v>
      </c>
      <c r="K120">
        <v>0.24</v>
      </c>
      <c r="L120" t="s">
        <v>18</v>
      </c>
      <c r="M120" t="s">
        <v>28</v>
      </c>
      <c r="N120" t="s">
        <v>48</v>
      </c>
      <c r="O120" s="6">
        <f>SalesMaster[[#This Row],[Sales_Amount]]*SalesMaster[[#This Row],[Quantity_Sold]]</f>
        <v>15084.6</v>
      </c>
      <c r="P120" s="6">
        <f>SalesMaster[[#This Row],[Quantity_Sold]]*SalesMaster[[#This Row],[Unit_Cost]]</f>
        <v>1456.82</v>
      </c>
      <c r="Q120" s="6">
        <f>SalesMaster[[#This Row],[Total_Sales]]-SalesMaster[[#This Row],[Total_Cost]]</f>
        <v>13627.78</v>
      </c>
      <c r="R120" s="1">
        <f>IFERROR(SalesMaster[Net Profit]/SalesMaster[Total_Sales], 0)</f>
        <v>0.90342335892234471</v>
      </c>
      <c r="S120" t="str">
        <f>TEXT(SalesMaster[[#This Row],[Sale_Date]], "mmm")</f>
        <v>Feb</v>
      </c>
      <c r="T120" s="6" t="str">
        <f>IF(SalesMaster[Profit_Margin]&gt;=0.15, "Excellent", IF(SalesMaster[Profit_Margin]&gt;=0.05, "Average", "Needs Improvement"))</f>
        <v>Excellent</v>
      </c>
    </row>
    <row r="121" spans="1:20">
      <c r="A121">
        <v>1078</v>
      </c>
      <c r="B121" s="2">
        <v>44965</v>
      </c>
      <c r="C121" t="s">
        <v>42</v>
      </c>
      <c r="D121" t="s">
        <v>25</v>
      </c>
      <c r="E121">
        <v>9813.32</v>
      </c>
      <c r="F121">
        <v>49</v>
      </c>
      <c r="G121" t="s">
        <v>26</v>
      </c>
      <c r="H121">
        <v>3026.85</v>
      </c>
      <c r="I121">
        <v>3183.58</v>
      </c>
      <c r="J121" t="s">
        <v>17</v>
      </c>
      <c r="K121">
        <v>0.25</v>
      </c>
      <c r="L121" t="s">
        <v>18</v>
      </c>
      <c r="M121" t="s">
        <v>28</v>
      </c>
      <c r="N121" t="s">
        <v>49</v>
      </c>
      <c r="O121" s="6">
        <f>SalesMaster[[#This Row],[Sales_Amount]]*SalesMaster[[#This Row],[Quantity_Sold]]</f>
        <v>480852.68</v>
      </c>
      <c r="P121" s="6">
        <f>SalesMaster[[#This Row],[Quantity_Sold]]*SalesMaster[[#This Row],[Unit_Cost]]</f>
        <v>148315.65</v>
      </c>
      <c r="Q121" s="6">
        <f>SalesMaster[[#This Row],[Total_Sales]]-SalesMaster[[#This Row],[Total_Cost]]</f>
        <v>332537.03000000003</v>
      </c>
      <c r="R121" s="1">
        <f>IFERROR(SalesMaster[Net Profit]/SalesMaster[Total_Sales], 0)</f>
        <v>0.69155698581112213</v>
      </c>
      <c r="S121" t="str">
        <f>TEXT(SalesMaster[[#This Row],[Sale_Date]], "mmm")</f>
        <v>Feb</v>
      </c>
      <c r="T121" s="6" t="str">
        <f>IF(SalesMaster[Profit_Margin]&gt;=0.15, "Excellent", IF(SalesMaster[Profit_Margin]&gt;=0.05, "Average", "Needs Improvement"))</f>
        <v>Excellent</v>
      </c>
    </row>
    <row r="122" spans="1:20">
      <c r="A122">
        <v>1048</v>
      </c>
      <c r="B122" s="2">
        <v>44965</v>
      </c>
      <c r="C122" t="s">
        <v>21</v>
      </c>
      <c r="D122" t="s">
        <v>33</v>
      </c>
      <c r="E122">
        <v>7454.53</v>
      </c>
      <c r="F122">
        <v>27</v>
      </c>
      <c r="G122" t="s">
        <v>16</v>
      </c>
      <c r="H122">
        <v>3197.76</v>
      </c>
      <c r="I122">
        <v>3572.61</v>
      </c>
      <c r="J122" t="s">
        <v>17</v>
      </c>
      <c r="K122">
        <v>0.08</v>
      </c>
      <c r="L122" t="s">
        <v>23</v>
      </c>
      <c r="M122" t="s">
        <v>19</v>
      </c>
      <c r="N122" t="s">
        <v>48</v>
      </c>
      <c r="O122" s="6">
        <f>SalesMaster[[#This Row],[Sales_Amount]]*SalesMaster[[#This Row],[Quantity_Sold]]</f>
        <v>201272.31</v>
      </c>
      <c r="P122" s="6">
        <f>SalesMaster[[#This Row],[Quantity_Sold]]*SalesMaster[[#This Row],[Unit_Cost]]</f>
        <v>86339.520000000004</v>
      </c>
      <c r="Q122" s="6">
        <f>SalesMaster[[#This Row],[Total_Sales]]-SalesMaster[[#This Row],[Total_Cost]]</f>
        <v>114932.79</v>
      </c>
      <c r="R122" s="1">
        <f>IFERROR(SalesMaster[Net Profit]/SalesMaster[Total_Sales], 0)</f>
        <v>0.57103130579660955</v>
      </c>
      <c r="S122" t="str">
        <f>TEXT(SalesMaster[[#This Row],[Sale_Date]], "mmm")</f>
        <v>Feb</v>
      </c>
      <c r="T122" s="6" t="str">
        <f>IF(SalesMaster[Profit_Margin]&gt;=0.15, "Excellent", IF(SalesMaster[Profit_Margin]&gt;=0.05, "Average", "Needs Improvement"))</f>
        <v>Excellent</v>
      </c>
    </row>
    <row r="123" spans="1:20">
      <c r="A123">
        <v>1033</v>
      </c>
      <c r="B123" s="2">
        <v>44965</v>
      </c>
      <c r="C123" t="s">
        <v>14</v>
      </c>
      <c r="D123" t="s">
        <v>15</v>
      </c>
      <c r="E123">
        <v>8395.2900000000009</v>
      </c>
      <c r="F123">
        <v>39</v>
      </c>
      <c r="G123" t="s">
        <v>31</v>
      </c>
      <c r="H123">
        <v>4232.8100000000004</v>
      </c>
      <c r="I123">
        <v>4345.25</v>
      </c>
      <c r="J123" t="s">
        <v>17</v>
      </c>
      <c r="K123">
        <v>0.12</v>
      </c>
      <c r="L123" t="s">
        <v>27</v>
      </c>
      <c r="M123" t="s">
        <v>19</v>
      </c>
      <c r="N123" t="s">
        <v>20</v>
      </c>
      <c r="O123" s="6">
        <f>SalesMaster[[#This Row],[Sales_Amount]]*SalesMaster[[#This Row],[Quantity_Sold]]</f>
        <v>327416.31000000006</v>
      </c>
      <c r="P123" s="6">
        <f>SalesMaster[[#This Row],[Quantity_Sold]]*SalesMaster[[#This Row],[Unit_Cost]]</f>
        <v>165079.59000000003</v>
      </c>
      <c r="Q123" s="6">
        <f>SalesMaster[[#This Row],[Total_Sales]]-SalesMaster[[#This Row],[Total_Cost]]</f>
        <v>162336.72000000003</v>
      </c>
      <c r="R123" s="1">
        <f>IFERROR(SalesMaster[Net Profit]/SalesMaster[Total_Sales], 0)</f>
        <v>0.49581134183571979</v>
      </c>
      <c r="S123" t="str">
        <f>TEXT(SalesMaster[[#This Row],[Sale_Date]], "mmm")</f>
        <v>Feb</v>
      </c>
      <c r="T123" s="6" t="str">
        <f>IF(SalesMaster[Profit_Margin]&gt;=0.15, "Excellent", IF(SalesMaster[Profit_Margin]&gt;=0.05, "Average", "Needs Improvement"))</f>
        <v>Excellent</v>
      </c>
    </row>
    <row r="124" spans="1:20">
      <c r="A124">
        <v>1090</v>
      </c>
      <c r="B124" s="2">
        <v>44965</v>
      </c>
      <c r="C124" t="s">
        <v>21</v>
      </c>
      <c r="D124" t="s">
        <v>15</v>
      </c>
      <c r="E124">
        <v>1740.91</v>
      </c>
      <c r="F124">
        <v>44</v>
      </c>
      <c r="G124" t="s">
        <v>16</v>
      </c>
      <c r="H124">
        <v>3542.18</v>
      </c>
      <c r="I124">
        <v>3578.49</v>
      </c>
      <c r="J124" t="s">
        <v>17</v>
      </c>
      <c r="K124">
        <v>0.12</v>
      </c>
      <c r="L124" t="s">
        <v>18</v>
      </c>
      <c r="M124" t="s">
        <v>19</v>
      </c>
      <c r="N124" t="s">
        <v>24</v>
      </c>
      <c r="O124" s="6">
        <f>SalesMaster[[#This Row],[Sales_Amount]]*SalesMaster[[#This Row],[Quantity_Sold]]</f>
        <v>76600.040000000008</v>
      </c>
      <c r="P124" s="6">
        <f>SalesMaster[[#This Row],[Quantity_Sold]]*SalesMaster[[#This Row],[Unit_Cost]]</f>
        <v>155855.91999999998</v>
      </c>
      <c r="Q124" s="6">
        <f>SalesMaster[[#This Row],[Total_Sales]]-SalesMaster[[#This Row],[Total_Cost]]</f>
        <v>-79255.879999999976</v>
      </c>
      <c r="R124" s="1">
        <f>IFERROR(SalesMaster[Net Profit]/SalesMaster[Total_Sales], 0)</f>
        <v>-1.0346715223647398</v>
      </c>
      <c r="S124" t="str">
        <f>TEXT(SalesMaster[[#This Row],[Sale_Date]], "mmm")</f>
        <v>Feb</v>
      </c>
      <c r="T124" s="6" t="str">
        <f>IF(SalesMaster[Profit_Margin]&gt;=0.15, "Excellent", IF(SalesMaster[Profit_Margin]&gt;=0.05, "Average", "Needs Improvement"))</f>
        <v>Needs Improvement</v>
      </c>
    </row>
    <row r="125" spans="1:20">
      <c r="A125">
        <v>1015</v>
      </c>
      <c r="B125" s="2">
        <v>44965</v>
      </c>
      <c r="C125" t="s">
        <v>21</v>
      </c>
      <c r="D125" t="s">
        <v>36</v>
      </c>
      <c r="E125">
        <v>2669.81</v>
      </c>
      <c r="F125">
        <v>23</v>
      </c>
      <c r="G125" t="s">
        <v>31</v>
      </c>
      <c r="H125">
        <v>2644.77</v>
      </c>
      <c r="I125">
        <v>2684.83</v>
      </c>
      <c r="J125" t="s">
        <v>22</v>
      </c>
      <c r="K125">
        <v>0.24</v>
      </c>
      <c r="L125" t="s">
        <v>18</v>
      </c>
      <c r="M125" t="s">
        <v>19</v>
      </c>
      <c r="N125" t="s">
        <v>38</v>
      </c>
      <c r="O125" s="6">
        <f>SalesMaster[[#This Row],[Sales_Amount]]*SalesMaster[[#This Row],[Quantity_Sold]]</f>
        <v>61405.63</v>
      </c>
      <c r="P125" s="6">
        <f>SalesMaster[[#This Row],[Quantity_Sold]]*SalesMaster[[#This Row],[Unit_Cost]]</f>
        <v>60829.71</v>
      </c>
      <c r="Q125" s="6">
        <f>SalesMaster[[#This Row],[Total_Sales]]-SalesMaster[[#This Row],[Total_Cost]]</f>
        <v>575.91999999999825</v>
      </c>
      <c r="R125" s="1">
        <f>IFERROR(SalesMaster[Net Profit]/SalesMaster[Total_Sales], 0)</f>
        <v>9.3789445690891579E-3</v>
      </c>
      <c r="S125" t="str">
        <f>TEXT(SalesMaster[[#This Row],[Sale_Date]], "mmm")</f>
        <v>Feb</v>
      </c>
      <c r="T125" s="6" t="str">
        <f>IF(SalesMaster[Profit_Margin]&gt;=0.15, "Excellent", IF(SalesMaster[Profit_Margin]&gt;=0.05, "Average", "Needs Improvement"))</f>
        <v>Needs Improvement</v>
      </c>
    </row>
    <row r="126" spans="1:20">
      <c r="A126">
        <v>1027</v>
      </c>
      <c r="B126" s="2">
        <v>44965</v>
      </c>
      <c r="C126" t="s">
        <v>42</v>
      </c>
      <c r="D126" t="s">
        <v>33</v>
      </c>
      <c r="E126">
        <v>7179.49</v>
      </c>
      <c r="F126">
        <v>20</v>
      </c>
      <c r="G126" t="s">
        <v>31</v>
      </c>
      <c r="H126">
        <v>1748.11</v>
      </c>
      <c r="I126">
        <v>2220.9</v>
      </c>
      <c r="J126" t="s">
        <v>22</v>
      </c>
      <c r="K126">
        <v>0.23</v>
      </c>
      <c r="L126" t="s">
        <v>23</v>
      </c>
      <c r="M126" t="s">
        <v>28</v>
      </c>
      <c r="N126" t="s">
        <v>50</v>
      </c>
      <c r="O126" s="6">
        <f>SalesMaster[[#This Row],[Sales_Amount]]*SalesMaster[[#This Row],[Quantity_Sold]]</f>
        <v>143589.79999999999</v>
      </c>
      <c r="P126" s="6">
        <f>SalesMaster[[#This Row],[Quantity_Sold]]*SalesMaster[[#This Row],[Unit_Cost]]</f>
        <v>34962.199999999997</v>
      </c>
      <c r="Q126" s="6">
        <f>SalesMaster[[#This Row],[Total_Sales]]-SalesMaster[[#This Row],[Total_Cost]]</f>
        <v>108627.59999999999</v>
      </c>
      <c r="R126" s="1">
        <f>IFERROR(SalesMaster[Net Profit]/SalesMaster[Total_Sales], 0)</f>
        <v>0.75651334565547135</v>
      </c>
      <c r="S126" t="str">
        <f>TEXT(SalesMaster[[#This Row],[Sale_Date]], "mmm")</f>
        <v>Feb</v>
      </c>
      <c r="T126" s="6" t="str">
        <f>IF(SalesMaster[Profit_Margin]&gt;=0.15, "Excellent", IF(SalesMaster[Profit_Margin]&gt;=0.05, "Average", "Needs Improvement"))</f>
        <v>Excellent</v>
      </c>
    </row>
    <row r="127" spans="1:20">
      <c r="A127">
        <v>1092</v>
      </c>
      <c r="B127" s="2">
        <v>44966</v>
      </c>
      <c r="C127" t="s">
        <v>30</v>
      </c>
      <c r="D127" t="s">
        <v>33</v>
      </c>
      <c r="E127">
        <v>2749.17</v>
      </c>
      <c r="F127">
        <v>34</v>
      </c>
      <c r="G127" t="s">
        <v>26</v>
      </c>
      <c r="H127">
        <v>2037.41</v>
      </c>
      <c r="I127">
        <v>2238.65</v>
      </c>
      <c r="J127" t="s">
        <v>22</v>
      </c>
      <c r="K127">
        <v>0.3</v>
      </c>
      <c r="L127" t="s">
        <v>23</v>
      </c>
      <c r="M127" t="s">
        <v>19</v>
      </c>
      <c r="N127" t="s">
        <v>34</v>
      </c>
      <c r="O127" s="6">
        <f>SalesMaster[[#This Row],[Sales_Amount]]*SalesMaster[[#This Row],[Quantity_Sold]]</f>
        <v>93471.78</v>
      </c>
      <c r="P127" s="6">
        <f>SalesMaster[[#This Row],[Quantity_Sold]]*SalesMaster[[#This Row],[Unit_Cost]]</f>
        <v>69271.94</v>
      </c>
      <c r="Q127" s="6">
        <f>SalesMaster[[#This Row],[Total_Sales]]-SalesMaster[[#This Row],[Total_Cost]]</f>
        <v>24199.839999999997</v>
      </c>
      <c r="R127" s="1">
        <f>IFERROR(SalesMaster[Net Profit]/SalesMaster[Total_Sales], 0)</f>
        <v>0.25889995889668516</v>
      </c>
      <c r="S127" t="str">
        <f>TEXT(SalesMaster[[#This Row],[Sale_Date]], "mmm")</f>
        <v>Feb</v>
      </c>
      <c r="T127" s="6" t="str">
        <f>IF(SalesMaster[Profit_Margin]&gt;=0.15, "Excellent", IF(SalesMaster[Profit_Margin]&gt;=0.05, "Average", "Needs Improvement"))</f>
        <v>Excellent</v>
      </c>
    </row>
    <row r="128" spans="1:20">
      <c r="A128">
        <v>1046</v>
      </c>
      <c r="B128" s="2">
        <v>44966</v>
      </c>
      <c r="C128" t="s">
        <v>21</v>
      </c>
      <c r="D128" t="s">
        <v>36</v>
      </c>
      <c r="E128">
        <v>9709.7000000000007</v>
      </c>
      <c r="F128">
        <v>3</v>
      </c>
      <c r="G128" t="s">
        <v>26</v>
      </c>
      <c r="H128">
        <v>1216.1600000000001</v>
      </c>
      <c r="I128">
        <v>1295.3699999999999</v>
      </c>
      <c r="J128" t="s">
        <v>22</v>
      </c>
      <c r="K128">
        <v>0.14000000000000001</v>
      </c>
      <c r="L128" t="s">
        <v>18</v>
      </c>
      <c r="M128" t="s">
        <v>28</v>
      </c>
      <c r="N128" t="s">
        <v>38</v>
      </c>
      <c r="O128" s="6">
        <f>SalesMaster[[#This Row],[Sales_Amount]]*SalesMaster[[#This Row],[Quantity_Sold]]</f>
        <v>29129.100000000002</v>
      </c>
      <c r="P128" s="6">
        <f>SalesMaster[[#This Row],[Quantity_Sold]]*SalesMaster[[#This Row],[Unit_Cost]]</f>
        <v>3648.4800000000005</v>
      </c>
      <c r="Q128" s="6">
        <f>SalesMaster[[#This Row],[Total_Sales]]-SalesMaster[[#This Row],[Total_Cost]]</f>
        <v>25480.620000000003</v>
      </c>
      <c r="R128" s="1">
        <f>IFERROR(SalesMaster[Net Profit]/SalesMaster[Total_Sales], 0)</f>
        <v>0.87474793247989124</v>
      </c>
      <c r="S128" t="str">
        <f>TEXT(SalesMaster[[#This Row],[Sale_Date]], "mmm")</f>
        <v>Feb</v>
      </c>
      <c r="T128" s="6" t="str">
        <f>IF(SalesMaster[Profit_Margin]&gt;=0.15, "Excellent", IF(SalesMaster[Profit_Margin]&gt;=0.05, "Average", "Needs Improvement"))</f>
        <v>Excellent</v>
      </c>
    </row>
    <row r="129" spans="1:20">
      <c r="A129">
        <v>1038</v>
      </c>
      <c r="B129" s="2">
        <v>44966</v>
      </c>
      <c r="C129" t="s">
        <v>42</v>
      </c>
      <c r="D129" t="s">
        <v>36</v>
      </c>
      <c r="E129">
        <v>5529.35</v>
      </c>
      <c r="F129">
        <v>16</v>
      </c>
      <c r="G129" t="s">
        <v>26</v>
      </c>
      <c r="H129">
        <v>3899.7</v>
      </c>
      <c r="I129">
        <v>4228.18</v>
      </c>
      <c r="J129" t="s">
        <v>22</v>
      </c>
      <c r="K129">
        <v>0.27</v>
      </c>
      <c r="L129" t="s">
        <v>18</v>
      </c>
      <c r="M129" t="s">
        <v>28</v>
      </c>
      <c r="N129" t="s">
        <v>43</v>
      </c>
      <c r="O129" s="6">
        <f>SalesMaster[[#This Row],[Sales_Amount]]*SalesMaster[[#This Row],[Quantity_Sold]]</f>
        <v>88469.6</v>
      </c>
      <c r="P129" s="6">
        <f>SalesMaster[[#This Row],[Quantity_Sold]]*SalesMaster[[#This Row],[Unit_Cost]]</f>
        <v>62395.199999999997</v>
      </c>
      <c r="Q129" s="6">
        <f>SalesMaster[[#This Row],[Total_Sales]]-SalesMaster[[#This Row],[Total_Cost]]</f>
        <v>26074.400000000009</v>
      </c>
      <c r="R129" s="1">
        <f>IFERROR(SalesMaster[Net Profit]/SalesMaster[Total_Sales], 0)</f>
        <v>0.2947272283360613</v>
      </c>
      <c r="S129" t="str">
        <f>TEXT(SalesMaster[[#This Row],[Sale_Date]], "mmm")</f>
        <v>Feb</v>
      </c>
      <c r="T129" s="6" t="str">
        <f>IF(SalesMaster[Profit_Margin]&gt;=0.15, "Excellent", IF(SalesMaster[Profit_Margin]&gt;=0.05, "Average", "Needs Improvement"))</f>
        <v>Excellent</v>
      </c>
    </row>
    <row r="130" spans="1:20">
      <c r="A130">
        <v>1039</v>
      </c>
      <c r="B130" s="2">
        <v>44966</v>
      </c>
      <c r="C130" t="s">
        <v>30</v>
      </c>
      <c r="D130" t="s">
        <v>25</v>
      </c>
      <c r="E130">
        <v>9091.4599999999991</v>
      </c>
      <c r="F130">
        <v>20</v>
      </c>
      <c r="G130" t="s">
        <v>41</v>
      </c>
      <c r="H130">
        <v>2014.11</v>
      </c>
      <c r="I130">
        <v>2056.35</v>
      </c>
      <c r="J130" t="s">
        <v>17</v>
      </c>
      <c r="K130">
        <v>0.21</v>
      </c>
      <c r="L130" t="s">
        <v>27</v>
      </c>
      <c r="M130" t="s">
        <v>28</v>
      </c>
      <c r="N130" t="s">
        <v>32</v>
      </c>
      <c r="O130" s="6">
        <f>SalesMaster[[#This Row],[Sales_Amount]]*SalesMaster[[#This Row],[Quantity_Sold]]</f>
        <v>181829.19999999998</v>
      </c>
      <c r="P130" s="6">
        <f>SalesMaster[[#This Row],[Quantity_Sold]]*SalesMaster[[#This Row],[Unit_Cost]]</f>
        <v>40282.199999999997</v>
      </c>
      <c r="Q130" s="6">
        <f>SalesMaster[[#This Row],[Total_Sales]]-SalesMaster[[#This Row],[Total_Cost]]</f>
        <v>141547</v>
      </c>
      <c r="R130" s="1">
        <f>IFERROR(SalesMaster[Net Profit]/SalesMaster[Total_Sales], 0)</f>
        <v>0.77846132524369027</v>
      </c>
      <c r="S130" t="str">
        <f>TEXT(SalesMaster[[#This Row],[Sale_Date]], "mmm")</f>
        <v>Feb</v>
      </c>
      <c r="T130" s="6" t="str">
        <f>IF(SalesMaster[Profit_Margin]&gt;=0.15, "Excellent", IF(SalesMaster[Profit_Margin]&gt;=0.05, "Average", "Needs Improvement"))</f>
        <v>Excellent</v>
      </c>
    </row>
    <row r="131" spans="1:20">
      <c r="A131">
        <v>1092</v>
      </c>
      <c r="B131" s="2">
        <v>44966</v>
      </c>
      <c r="C131" t="s">
        <v>42</v>
      </c>
      <c r="D131" t="s">
        <v>25</v>
      </c>
      <c r="E131">
        <v>7192.33</v>
      </c>
      <c r="F131">
        <v>14</v>
      </c>
      <c r="G131" t="s">
        <v>16</v>
      </c>
      <c r="H131">
        <v>3586.58</v>
      </c>
      <c r="I131">
        <v>4068.43</v>
      </c>
      <c r="J131" t="s">
        <v>22</v>
      </c>
      <c r="K131">
        <v>0.22</v>
      </c>
      <c r="L131" t="s">
        <v>23</v>
      </c>
      <c r="M131" t="s">
        <v>19</v>
      </c>
      <c r="N131" t="s">
        <v>49</v>
      </c>
      <c r="O131" s="6">
        <f>SalesMaster[[#This Row],[Sales_Amount]]*SalesMaster[[#This Row],[Quantity_Sold]]</f>
        <v>100692.62</v>
      </c>
      <c r="P131" s="6">
        <f>SalesMaster[[#This Row],[Quantity_Sold]]*SalesMaster[[#This Row],[Unit_Cost]]</f>
        <v>50212.119999999995</v>
      </c>
      <c r="Q131" s="6">
        <f>SalesMaster[[#This Row],[Total_Sales]]-SalesMaster[[#This Row],[Total_Cost]]</f>
        <v>50480.5</v>
      </c>
      <c r="R131" s="1">
        <f>IFERROR(SalesMaster[Net Profit]/SalesMaster[Total_Sales], 0)</f>
        <v>0.50133266966337753</v>
      </c>
      <c r="S131" t="str">
        <f>TEXT(SalesMaster[[#This Row],[Sale_Date]], "mmm")</f>
        <v>Feb</v>
      </c>
      <c r="T131" s="6" t="str">
        <f>IF(SalesMaster[Profit_Margin]&gt;=0.15, "Excellent", IF(SalesMaster[Profit_Margin]&gt;=0.05, "Average", "Needs Improvement"))</f>
        <v>Excellent</v>
      </c>
    </row>
    <row r="132" spans="1:20">
      <c r="A132">
        <v>1020</v>
      </c>
      <c r="B132" s="2">
        <v>44966</v>
      </c>
      <c r="C132" t="s">
        <v>21</v>
      </c>
      <c r="D132" t="s">
        <v>36</v>
      </c>
      <c r="E132">
        <v>2102.3200000000002</v>
      </c>
      <c r="F132">
        <v>29</v>
      </c>
      <c r="G132" t="s">
        <v>31</v>
      </c>
      <c r="H132">
        <v>184.05</v>
      </c>
      <c r="I132">
        <v>675.91</v>
      </c>
      <c r="J132" t="s">
        <v>17</v>
      </c>
      <c r="K132">
        <v>0.1</v>
      </c>
      <c r="L132" t="s">
        <v>18</v>
      </c>
      <c r="M132" t="s">
        <v>28</v>
      </c>
      <c r="N132" t="s">
        <v>38</v>
      </c>
      <c r="O132" s="6">
        <f>SalesMaster[[#This Row],[Sales_Amount]]*SalesMaster[[#This Row],[Quantity_Sold]]</f>
        <v>60967.280000000006</v>
      </c>
      <c r="P132" s="6">
        <f>SalesMaster[[#This Row],[Quantity_Sold]]*SalesMaster[[#This Row],[Unit_Cost]]</f>
        <v>5337.4500000000007</v>
      </c>
      <c r="Q132" s="6">
        <f>SalesMaster[[#This Row],[Total_Sales]]-SalesMaster[[#This Row],[Total_Cost]]</f>
        <v>55629.83</v>
      </c>
      <c r="R132" s="1">
        <f>IFERROR(SalesMaster[Net Profit]/SalesMaster[Total_Sales], 0)</f>
        <v>0.91245386049697474</v>
      </c>
      <c r="S132" t="str">
        <f>TEXT(SalesMaster[[#This Row],[Sale_Date]], "mmm")</f>
        <v>Feb</v>
      </c>
      <c r="T132" s="6" t="str">
        <f>IF(SalesMaster[Profit_Margin]&gt;=0.15, "Excellent", IF(SalesMaster[Profit_Margin]&gt;=0.05, "Average", "Needs Improvement"))</f>
        <v>Excellent</v>
      </c>
    </row>
    <row r="133" spans="1:20">
      <c r="A133">
        <v>1024</v>
      </c>
      <c r="B133" s="2">
        <v>44967</v>
      </c>
      <c r="C133" t="s">
        <v>30</v>
      </c>
      <c r="D133" t="s">
        <v>36</v>
      </c>
      <c r="E133">
        <v>6274.12</v>
      </c>
      <c r="F133">
        <v>13</v>
      </c>
      <c r="G133" t="s">
        <v>16</v>
      </c>
      <c r="H133">
        <v>1493.88</v>
      </c>
      <c r="I133">
        <v>1781.09</v>
      </c>
      <c r="J133" t="s">
        <v>22</v>
      </c>
      <c r="K133">
        <v>0.04</v>
      </c>
      <c r="L133" t="s">
        <v>18</v>
      </c>
      <c r="M133" t="s">
        <v>28</v>
      </c>
      <c r="N133" t="s">
        <v>46</v>
      </c>
      <c r="O133" s="6">
        <f>SalesMaster[[#This Row],[Sales_Amount]]*SalesMaster[[#This Row],[Quantity_Sold]]</f>
        <v>81563.56</v>
      </c>
      <c r="P133" s="6">
        <f>SalesMaster[[#This Row],[Quantity_Sold]]*SalesMaster[[#This Row],[Unit_Cost]]</f>
        <v>19420.440000000002</v>
      </c>
      <c r="Q133" s="6">
        <f>SalesMaster[[#This Row],[Total_Sales]]-SalesMaster[[#This Row],[Total_Cost]]</f>
        <v>62143.119999999995</v>
      </c>
      <c r="R133" s="1">
        <f>IFERROR(SalesMaster[Net Profit]/SalesMaster[Total_Sales], 0)</f>
        <v>0.76189808291840122</v>
      </c>
      <c r="S133" t="str">
        <f>TEXT(SalesMaster[[#This Row],[Sale_Date]], "mmm")</f>
        <v>Feb</v>
      </c>
      <c r="T133" s="6" t="str">
        <f>IF(SalesMaster[Profit_Margin]&gt;=0.15, "Excellent", IF(SalesMaster[Profit_Margin]&gt;=0.05, "Average", "Needs Improvement"))</f>
        <v>Excellent</v>
      </c>
    </row>
    <row r="134" spans="1:20">
      <c r="A134">
        <v>1056</v>
      </c>
      <c r="B134" s="2">
        <v>44967</v>
      </c>
      <c r="C134" t="s">
        <v>35</v>
      </c>
      <c r="D134" t="s">
        <v>33</v>
      </c>
      <c r="E134">
        <v>3063.9</v>
      </c>
      <c r="F134">
        <v>42</v>
      </c>
      <c r="G134" t="s">
        <v>26</v>
      </c>
      <c r="H134">
        <v>1080.1199999999999</v>
      </c>
      <c r="I134">
        <v>1424.1699999999901</v>
      </c>
      <c r="J134" t="s">
        <v>22</v>
      </c>
      <c r="K134">
        <v>0.1</v>
      </c>
      <c r="L134" t="s">
        <v>18</v>
      </c>
      <c r="M134" t="s">
        <v>19</v>
      </c>
      <c r="N134" t="s">
        <v>52</v>
      </c>
      <c r="O134" s="6">
        <f>SalesMaster[[#This Row],[Sales_Amount]]*SalesMaster[[#This Row],[Quantity_Sold]]</f>
        <v>128683.8</v>
      </c>
      <c r="P134" s="6">
        <f>SalesMaster[[#This Row],[Quantity_Sold]]*SalesMaster[[#This Row],[Unit_Cost]]</f>
        <v>45365.039999999994</v>
      </c>
      <c r="Q134" s="6">
        <f>SalesMaster[[#This Row],[Total_Sales]]-SalesMaster[[#This Row],[Total_Cost]]</f>
        <v>83318.760000000009</v>
      </c>
      <c r="R134" s="1">
        <f>IFERROR(SalesMaster[Net Profit]/SalesMaster[Total_Sales], 0)</f>
        <v>0.64746891217076286</v>
      </c>
      <c r="S134" t="str">
        <f>TEXT(SalesMaster[[#This Row],[Sale_Date]], "mmm")</f>
        <v>Feb</v>
      </c>
      <c r="T134" s="6" t="str">
        <f>IF(SalesMaster[Profit_Margin]&gt;=0.15, "Excellent", IF(SalesMaster[Profit_Margin]&gt;=0.05, "Average", "Needs Improvement"))</f>
        <v>Excellent</v>
      </c>
    </row>
    <row r="135" spans="1:20">
      <c r="A135">
        <v>1092</v>
      </c>
      <c r="B135" s="2">
        <v>44967</v>
      </c>
      <c r="C135" t="s">
        <v>35</v>
      </c>
      <c r="D135" t="s">
        <v>36</v>
      </c>
      <c r="E135">
        <v>5426.42</v>
      </c>
      <c r="F135">
        <v>47</v>
      </c>
      <c r="G135" t="s">
        <v>26</v>
      </c>
      <c r="H135">
        <v>3681.53</v>
      </c>
      <c r="I135">
        <v>4076.96</v>
      </c>
      <c r="J135" t="s">
        <v>17</v>
      </c>
      <c r="K135">
        <v>0.17</v>
      </c>
      <c r="L135" t="s">
        <v>18</v>
      </c>
      <c r="M135" t="s">
        <v>28</v>
      </c>
      <c r="N135" t="s">
        <v>37</v>
      </c>
      <c r="O135" s="6">
        <f>SalesMaster[[#This Row],[Sales_Amount]]*SalesMaster[[#This Row],[Quantity_Sold]]</f>
        <v>255041.74</v>
      </c>
      <c r="P135" s="6">
        <f>SalesMaster[[#This Row],[Quantity_Sold]]*SalesMaster[[#This Row],[Unit_Cost]]</f>
        <v>173031.91</v>
      </c>
      <c r="Q135" s="6">
        <f>SalesMaster[[#This Row],[Total_Sales]]-SalesMaster[[#This Row],[Total_Cost]]</f>
        <v>82009.829999999987</v>
      </c>
      <c r="R135" s="1">
        <f>IFERROR(SalesMaster[Net Profit]/SalesMaster[Total_Sales], 0)</f>
        <v>0.32155454240549014</v>
      </c>
      <c r="S135" t="str">
        <f>TEXT(SalesMaster[[#This Row],[Sale_Date]], "mmm")</f>
        <v>Feb</v>
      </c>
      <c r="T135" s="6" t="str">
        <f>IF(SalesMaster[Profit_Margin]&gt;=0.15, "Excellent", IF(SalesMaster[Profit_Margin]&gt;=0.05, "Average", "Needs Improvement"))</f>
        <v>Excellent</v>
      </c>
    </row>
    <row r="136" spans="1:20">
      <c r="A136">
        <v>1021</v>
      </c>
      <c r="B136" s="2">
        <v>44968</v>
      </c>
      <c r="C136" t="s">
        <v>21</v>
      </c>
      <c r="D136" t="s">
        <v>33</v>
      </c>
      <c r="E136">
        <v>3761.15</v>
      </c>
      <c r="F136">
        <v>32</v>
      </c>
      <c r="G136" t="s">
        <v>41</v>
      </c>
      <c r="H136">
        <v>900.79</v>
      </c>
      <c r="I136">
        <v>1106.51</v>
      </c>
      <c r="J136" t="s">
        <v>22</v>
      </c>
      <c r="K136">
        <v>0.21</v>
      </c>
      <c r="L136" t="s">
        <v>18</v>
      </c>
      <c r="M136" t="s">
        <v>19</v>
      </c>
      <c r="N136" t="s">
        <v>48</v>
      </c>
      <c r="O136" s="6">
        <f>SalesMaster[[#This Row],[Sales_Amount]]*SalesMaster[[#This Row],[Quantity_Sold]]</f>
        <v>120356.8</v>
      </c>
      <c r="P136" s="6">
        <f>SalesMaster[[#This Row],[Quantity_Sold]]*SalesMaster[[#This Row],[Unit_Cost]]</f>
        <v>28825.279999999999</v>
      </c>
      <c r="Q136" s="6">
        <f>SalesMaster[[#This Row],[Total_Sales]]-SalesMaster[[#This Row],[Total_Cost]]</f>
        <v>91531.520000000004</v>
      </c>
      <c r="R136" s="1">
        <f>IFERROR(SalesMaster[Net Profit]/SalesMaster[Total_Sales], 0)</f>
        <v>0.76050144237799611</v>
      </c>
      <c r="S136" t="str">
        <f>TEXT(SalesMaster[[#This Row],[Sale_Date]], "mmm")</f>
        <v>Feb</v>
      </c>
      <c r="T136" s="6" t="str">
        <f>IF(SalesMaster[Profit_Margin]&gt;=0.15, "Excellent", IF(SalesMaster[Profit_Margin]&gt;=0.05, "Average", "Needs Improvement"))</f>
        <v>Excellent</v>
      </c>
    </row>
    <row r="137" spans="1:20">
      <c r="A137">
        <v>1028</v>
      </c>
      <c r="B137" s="2">
        <v>44968</v>
      </c>
      <c r="C137" t="s">
        <v>42</v>
      </c>
      <c r="D137" t="s">
        <v>36</v>
      </c>
      <c r="E137">
        <v>2819.57</v>
      </c>
      <c r="F137">
        <v>24</v>
      </c>
      <c r="G137" t="s">
        <v>16</v>
      </c>
      <c r="H137">
        <v>2521.0300000000002</v>
      </c>
      <c r="I137">
        <v>2766.05</v>
      </c>
      <c r="J137" t="s">
        <v>17</v>
      </c>
      <c r="K137">
        <v>0.16</v>
      </c>
      <c r="L137" t="s">
        <v>27</v>
      </c>
      <c r="M137" t="s">
        <v>28</v>
      </c>
      <c r="N137" t="s">
        <v>43</v>
      </c>
      <c r="O137" s="6">
        <f>SalesMaster[[#This Row],[Sales_Amount]]*SalesMaster[[#This Row],[Quantity_Sold]]</f>
        <v>67669.680000000008</v>
      </c>
      <c r="P137" s="6">
        <f>SalesMaster[[#This Row],[Quantity_Sold]]*SalesMaster[[#This Row],[Unit_Cost]]</f>
        <v>60504.72</v>
      </c>
      <c r="Q137" s="6">
        <f>SalesMaster[[#This Row],[Total_Sales]]-SalesMaster[[#This Row],[Total_Cost]]</f>
        <v>7164.9600000000064</v>
      </c>
      <c r="R137" s="1">
        <f>IFERROR(SalesMaster[Net Profit]/SalesMaster[Total_Sales], 0)</f>
        <v>0.10588139326209324</v>
      </c>
      <c r="S137" t="str">
        <f>TEXT(SalesMaster[[#This Row],[Sale_Date]], "mmm")</f>
        <v>Feb</v>
      </c>
      <c r="T137" s="6" t="str">
        <f>IF(SalesMaster[Profit_Margin]&gt;=0.15, "Excellent", IF(SalesMaster[Profit_Margin]&gt;=0.05, "Average", "Needs Improvement"))</f>
        <v>Average</v>
      </c>
    </row>
    <row r="138" spans="1:20">
      <c r="A138">
        <v>1014</v>
      </c>
      <c r="B138" s="2">
        <v>44968</v>
      </c>
      <c r="C138" t="s">
        <v>30</v>
      </c>
      <c r="D138" t="s">
        <v>33</v>
      </c>
      <c r="E138">
        <v>823.51</v>
      </c>
      <c r="F138">
        <v>44</v>
      </c>
      <c r="G138" t="s">
        <v>41</v>
      </c>
      <c r="H138">
        <v>2257.48</v>
      </c>
      <c r="I138">
        <v>2747.81</v>
      </c>
      <c r="J138" t="s">
        <v>17</v>
      </c>
      <c r="K138">
        <v>0.27</v>
      </c>
      <c r="L138" t="s">
        <v>18</v>
      </c>
      <c r="M138" t="s">
        <v>19</v>
      </c>
      <c r="N138" t="s">
        <v>34</v>
      </c>
      <c r="O138" s="6">
        <f>SalesMaster[[#This Row],[Sales_Amount]]*SalesMaster[[#This Row],[Quantity_Sold]]</f>
        <v>36234.44</v>
      </c>
      <c r="P138" s="6">
        <f>SalesMaster[[#This Row],[Quantity_Sold]]*SalesMaster[[#This Row],[Unit_Cost]]</f>
        <v>99329.12</v>
      </c>
      <c r="Q138" s="6">
        <f>SalesMaster[[#This Row],[Total_Sales]]-SalesMaster[[#This Row],[Total_Cost]]</f>
        <v>-63094.679999999993</v>
      </c>
      <c r="R138" s="1">
        <f>IFERROR(SalesMaster[Net Profit]/SalesMaster[Total_Sales], 0)</f>
        <v>-1.741290330414931</v>
      </c>
      <c r="S138" t="str">
        <f>TEXT(SalesMaster[[#This Row],[Sale_Date]], "mmm")</f>
        <v>Feb</v>
      </c>
      <c r="T138" s="6" t="str">
        <f>IF(SalesMaster[Profit_Margin]&gt;=0.15, "Excellent", IF(SalesMaster[Profit_Margin]&gt;=0.05, "Average", "Needs Improvement"))</f>
        <v>Needs Improvement</v>
      </c>
    </row>
    <row r="139" spans="1:20">
      <c r="A139">
        <v>1050</v>
      </c>
      <c r="B139" s="2">
        <v>44968</v>
      </c>
      <c r="C139" t="s">
        <v>21</v>
      </c>
      <c r="D139" t="s">
        <v>33</v>
      </c>
      <c r="E139">
        <v>1011.46</v>
      </c>
      <c r="F139">
        <v>48</v>
      </c>
      <c r="G139" t="s">
        <v>26</v>
      </c>
      <c r="H139">
        <v>710.06</v>
      </c>
      <c r="I139">
        <v>851.349999999999</v>
      </c>
      <c r="J139" t="s">
        <v>17</v>
      </c>
      <c r="K139">
        <v>0.04</v>
      </c>
      <c r="L139" t="s">
        <v>27</v>
      </c>
      <c r="M139" t="s">
        <v>19</v>
      </c>
      <c r="N139" t="s">
        <v>48</v>
      </c>
      <c r="O139" s="6">
        <f>SalesMaster[[#This Row],[Sales_Amount]]*SalesMaster[[#This Row],[Quantity_Sold]]</f>
        <v>48550.080000000002</v>
      </c>
      <c r="P139" s="6">
        <f>SalesMaster[[#This Row],[Quantity_Sold]]*SalesMaster[[#This Row],[Unit_Cost]]</f>
        <v>34082.879999999997</v>
      </c>
      <c r="Q139" s="6">
        <f>SalesMaster[[#This Row],[Total_Sales]]-SalesMaster[[#This Row],[Total_Cost]]</f>
        <v>14467.200000000004</v>
      </c>
      <c r="R139" s="1">
        <f>IFERROR(SalesMaster[Net Profit]/SalesMaster[Total_Sales], 0)</f>
        <v>0.29798509085875868</v>
      </c>
      <c r="S139" t="str">
        <f>TEXT(SalesMaster[[#This Row],[Sale_Date]], "mmm")</f>
        <v>Feb</v>
      </c>
      <c r="T139" s="6" t="str">
        <f>IF(SalesMaster[Profit_Margin]&gt;=0.15, "Excellent", IF(SalesMaster[Profit_Margin]&gt;=0.05, "Average", "Needs Improvement"))</f>
        <v>Excellent</v>
      </c>
    </row>
    <row r="140" spans="1:20">
      <c r="A140">
        <v>1034</v>
      </c>
      <c r="B140" s="2">
        <v>44968</v>
      </c>
      <c r="C140" t="s">
        <v>14</v>
      </c>
      <c r="D140" t="s">
        <v>25</v>
      </c>
      <c r="E140">
        <v>2082.79</v>
      </c>
      <c r="F140">
        <v>26</v>
      </c>
      <c r="G140" t="s">
        <v>31</v>
      </c>
      <c r="H140">
        <v>667</v>
      </c>
      <c r="I140">
        <v>718.72</v>
      </c>
      <c r="J140" t="s">
        <v>22</v>
      </c>
      <c r="K140">
        <v>0.2</v>
      </c>
      <c r="L140" t="s">
        <v>18</v>
      </c>
      <c r="M140" t="s">
        <v>28</v>
      </c>
      <c r="N140" t="s">
        <v>29</v>
      </c>
      <c r="O140" s="6">
        <f>SalesMaster[[#This Row],[Sales_Amount]]*SalesMaster[[#This Row],[Quantity_Sold]]</f>
        <v>54152.54</v>
      </c>
      <c r="P140" s="6">
        <f>SalesMaster[[#This Row],[Quantity_Sold]]*SalesMaster[[#This Row],[Unit_Cost]]</f>
        <v>17342</v>
      </c>
      <c r="Q140" s="6">
        <f>SalesMaster[[#This Row],[Total_Sales]]-SalesMaster[[#This Row],[Total_Cost]]</f>
        <v>36810.54</v>
      </c>
      <c r="R140" s="1">
        <f>IFERROR(SalesMaster[Net Profit]/SalesMaster[Total_Sales], 0)</f>
        <v>0.67975648049011184</v>
      </c>
      <c r="S140" t="str">
        <f>TEXT(SalesMaster[[#This Row],[Sale_Date]], "mmm")</f>
        <v>Feb</v>
      </c>
      <c r="T140" s="6" t="str">
        <f>IF(SalesMaster[Profit_Margin]&gt;=0.15, "Excellent", IF(SalesMaster[Profit_Margin]&gt;=0.05, "Average", "Needs Improvement"))</f>
        <v>Excellent</v>
      </c>
    </row>
    <row r="141" spans="1:20">
      <c r="A141">
        <v>1076</v>
      </c>
      <c r="B141" s="2">
        <v>44970</v>
      </c>
      <c r="C141" t="s">
        <v>14</v>
      </c>
      <c r="D141" t="s">
        <v>15</v>
      </c>
      <c r="E141">
        <v>6697.98</v>
      </c>
      <c r="F141">
        <v>17</v>
      </c>
      <c r="G141" t="s">
        <v>16</v>
      </c>
      <c r="H141">
        <v>604.08000000000004</v>
      </c>
      <c r="I141">
        <v>624.71</v>
      </c>
      <c r="J141" t="s">
        <v>22</v>
      </c>
      <c r="K141">
        <v>0.14000000000000001</v>
      </c>
      <c r="L141" t="s">
        <v>27</v>
      </c>
      <c r="M141" t="s">
        <v>28</v>
      </c>
      <c r="N141" t="s">
        <v>20</v>
      </c>
      <c r="O141" s="6">
        <f>SalesMaster[[#This Row],[Sales_Amount]]*SalesMaster[[#This Row],[Quantity_Sold]]</f>
        <v>113865.65999999999</v>
      </c>
      <c r="P141" s="6">
        <f>SalesMaster[[#This Row],[Quantity_Sold]]*SalesMaster[[#This Row],[Unit_Cost]]</f>
        <v>10269.36</v>
      </c>
      <c r="Q141" s="6">
        <f>SalesMaster[[#This Row],[Total_Sales]]-SalesMaster[[#This Row],[Total_Cost]]</f>
        <v>103596.29999999999</v>
      </c>
      <c r="R141" s="1">
        <f>IFERROR(SalesMaster[Net Profit]/SalesMaster[Total_Sales], 0)</f>
        <v>0.90981161484507267</v>
      </c>
      <c r="S141" t="str">
        <f>TEXT(SalesMaster[[#This Row],[Sale_Date]], "mmm")</f>
        <v>Feb</v>
      </c>
      <c r="T141" s="6" t="str">
        <f>IF(SalesMaster[Profit_Margin]&gt;=0.15, "Excellent", IF(SalesMaster[Profit_Margin]&gt;=0.05, "Average", "Needs Improvement"))</f>
        <v>Excellent</v>
      </c>
    </row>
    <row r="142" spans="1:20">
      <c r="A142">
        <v>1044</v>
      </c>
      <c r="B142" s="2">
        <v>44971</v>
      </c>
      <c r="C142" t="s">
        <v>30</v>
      </c>
      <c r="D142" t="s">
        <v>33</v>
      </c>
      <c r="E142">
        <v>9396.7800000000007</v>
      </c>
      <c r="F142">
        <v>12</v>
      </c>
      <c r="G142" t="s">
        <v>31</v>
      </c>
      <c r="H142">
        <v>2221.31</v>
      </c>
      <c r="I142">
        <v>2494.48</v>
      </c>
      <c r="J142" t="s">
        <v>17</v>
      </c>
      <c r="K142">
        <v>0.22</v>
      </c>
      <c r="L142" t="s">
        <v>27</v>
      </c>
      <c r="M142" t="s">
        <v>19</v>
      </c>
      <c r="N142" t="s">
        <v>34</v>
      </c>
      <c r="O142" s="6">
        <f>SalesMaster[[#This Row],[Sales_Amount]]*SalesMaster[[#This Row],[Quantity_Sold]]</f>
        <v>112761.36000000002</v>
      </c>
      <c r="P142" s="6">
        <f>SalesMaster[[#This Row],[Quantity_Sold]]*SalesMaster[[#This Row],[Unit_Cost]]</f>
        <v>26655.72</v>
      </c>
      <c r="Q142" s="6">
        <f>SalesMaster[[#This Row],[Total_Sales]]-SalesMaster[[#This Row],[Total_Cost]]</f>
        <v>86105.640000000014</v>
      </c>
      <c r="R142" s="1">
        <f>IFERROR(SalesMaster[Net Profit]/SalesMaster[Total_Sales], 0)</f>
        <v>0.76360944919429852</v>
      </c>
      <c r="S142" t="str">
        <f>TEXT(SalesMaster[[#This Row],[Sale_Date]], "mmm")</f>
        <v>Feb</v>
      </c>
      <c r="T142" s="6" t="str">
        <f>IF(SalesMaster[Profit_Margin]&gt;=0.15, "Excellent", IF(SalesMaster[Profit_Margin]&gt;=0.05, "Average", "Needs Improvement"))</f>
        <v>Excellent</v>
      </c>
    </row>
    <row r="143" spans="1:20">
      <c r="A143">
        <v>1099</v>
      </c>
      <c r="B143" s="2">
        <v>44971</v>
      </c>
      <c r="C143" t="s">
        <v>30</v>
      </c>
      <c r="D143" t="s">
        <v>25</v>
      </c>
      <c r="E143">
        <v>7802.45</v>
      </c>
      <c r="F143">
        <v>32</v>
      </c>
      <c r="G143" t="s">
        <v>16</v>
      </c>
      <c r="H143">
        <v>1517.86</v>
      </c>
      <c r="I143">
        <v>1948.46</v>
      </c>
      <c r="J143" t="s">
        <v>22</v>
      </c>
      <c r="K143">
        <v>0.02</v>
      </c>
      <c r="L143" t="s">
        <v>23</v>
      </c>
      <c r="M143" t="s">
        <v>19</v>
      </c>
      <c r="N143" t="s">
        <v>32</v>
      </c>
      <c r="O143" s="6">
        <f>SalesMaster[[#This Row],[Sales_Amount]]*SalesMaster[[#This Row],[Quantity_Sold]]</f>
        <v>249678.4</v>
      </c>
      <c r="P143" s="6">
        <f>SalesMaster[[#This Row],[Quantity_Sold]]*SalesMaster[[#This Row],[Unit_Cost]]</f>
        <v>48571.519999999997</v>
      </c>
      <c r="Q143" s="6">
        <f>SalesMaster[[#This Row],[Total_Sales]]-SalesMaster[[#This Row],[Total_Cost]]</f>
        <v>201106.88</v>
      </c>
      <c r="R143" s="1">
        <f>IFERROR(SalesMaster[Net Profit]/SalesMaster[Total_Sales], 0)</f>
        <v>0.80546366846311102</v>
      </c>
      <c r="S143" t="str">
        <f>TEXT(SalesMaster[[#This Row],[Sale_Date]], "mmm")</f>
        <v>Feb</v>
      </c>
      <c r="T143" s="6" t="str">
        <f>IF(SalesMaster[Profit_Margin]&gt;=0.15, "Excellent", IF(SalesMaster[Profit_Margin]&gt;=0.05, "Average", "Needs Improvement"))</f>
        <v>Excellent</v>
      </c>
    </row>
    <row r="144" spans="1:20">
      <c r="A144">
        <v>1025</v>
      </c>
      <c r="B144" s="2">
        <v>44972</v>
      </c>
      <c r="C144" t="s">
        <v>30</v>
      </c>
      <c r="D144" t="s">
        <v>25</v>
      </c>
      <c r="E144">
        <v>4140.7</v>
      </c>
      <c r="F144">
        <v>45</v>
      </c>
      <c r="G144" t="s">
        <v>16</v>
      </c>
      <c r="H144">
        <v>1588.04</v>
      </c>
      <c r="I144">
        <v>1703.6399999999901</v>
      </c>
      <c r="J144" t="s">
        <v>22</v>
      </c>
      <c r="K144">
        <v>0.2</v>
      </c>
      <c r="L144" t="s">
        <v>27</v>
      </c>
      <c r="M144" t="s">
        <v>28</v>
      </c>
      <c r="N144" t="s">
        <v>32</v>
      </c>
      <c r="O144" s="6">
        <f>SalesMaster[[#This Row],[Sales_Amount]]*SalesMaster[[#This Row],[Quantity_Sold]]</f>
        <v>186331.5</v>
      </c>
      <c r="P144" s="6">
        <f>SalesMaster[[#This Row],[Quantity_Sold]]*SalesMaster[[#This Row],[Unit_Cost]]</f>
        <v>71461.8</v>
      </c>
      <c r="Q144" s="6">
        <f>SalesMaster[[#This Row],[Total_Sales]]-SalesMaster[[#This Row],[Total_Cost]]</f>
        <v>114869.7</v>
      </c>
      <c r="R144" s="1">
        <f>IFERROR(SalesMaster[Net Profit]/SalesMaster[Total_Sales], 0)</f>
        <v>0.61648030526239528</v>
      </c>
      <c r="S144" t="str">
        <f>TEXT(SalesMaster[[#This Row],[Sale_Date]], "mmm")</f>
        <v>Feb</v>
      </c>
      <c r="T144" s="6" t="str">
        <f>IF(SalesMaster[Profit_Margin]&gt;=0.15, "Excellent", IF(SalesMaster[Profit_Margin]&gt;=0.05, "Average", "Needs Improvement"))</f>
        <v>Excellent</v>
      </c>
    </row>
    <row r="145" spans="1:20">
      <c r="A145">
        <v>1074</v>
      </c>
      <c r="B145" s="2">
        <v>44972</v>
      </c>
      <c r="C145" t="s">
        <v>42</v>
      </c>
      <c r="D145" t="s">
        <v>25</v>
      </c>
      <c r="E145">
        <v>3320.38</v>
      </c>
      <c r="F145">
        <v>31</v>
      </c>
      <c r="G145" t="s">
        <v>26</v>
      </c>
      <c r="H145">
        <v>1138.32</v>
      </c>
      <c r="I145">
        <v>1266.25</v>
      </c>
      <c r="J145" t="s">
        <v>17</v>
      </c>
      <c r="K145">
        <v>0.14000000000000001</v>
      </c>
      <c r="L145" t="s">
        <v>18</v>
      </c>
      <c r="M145" t="s">
        <v>28</v>
      </c>
      <c r="N145" t="s">
        <v>49</v>
      </c>
      <c r="O145" s="6">
        <f>SalesMaster[[#This Row],[Sales_Amount]]*SalesMaster[[#This Row],[Quantity_Sold]]</f>
        <v>102931.78</v>
      </c>
      <c r="P145" s="6">
        <f>SalesMaster[[#This Row],[Quantity_Sold]]*SalesMaster[[#This Row],[Unit_Cost]]</f>
        <v>35287.919999999998</v>
      </c>
      <c r="Q145" s="6">
        <f>SalesMaster[[#This Row],[Total_Sales]]-SalesMaster[[#This Row],[Total_Cost]]</f>
        <v>67643.86</v>
      </c>
      <c r="R145" s="1">
        <f>IFERROR(SalesMaster[Net Profit]/SalesMaster[Total_Sales], 0)</f>
        <v>0.65717176949626244</v>
      </c>
      <c r="S145" t="str">
        <f>TEXT(SalesMaster[[#This Row],[Sale_Date]], "mmm")</f>
        <v>Feb</v>
      </c>
      <c r="T145" s="6" t="str">
        <f>IF(SalesMaster[Profit_Margin]&gt;=0.15, "Excellent", IF(SalesMaster[Profit_Margin]&gt;=0.05, "Average", "Needs Improvement"))</f>
        <v>Excellent</v>
      </c>
    </row>
    <row r="146" spans="1:20">
      <c r="A146">
        <v>1094</v>
      </c>
      <c r="B146" s="2">
        <v>44972</v>
      </c>
      <c r="C146" t="s">
        <v>21</v>
      </c>
      <c r="D146" t="s">
        <v>25</v>
      </c>
      <c r="E146">
        <v>8643.67</v>
      </c>
      <c r="F146">
        <v>47</v>
      </c>
      <c r="G146" t="s">
        <v>41</v>
      </c>
      <c r="H146">
        <v>3450.36</v>
      </c>
      <c r="I146">
        <v>3557.38</v>
      </c>
      <c r="J146" t="s">
        <v>22</v>
      </c>
      <c r="K146">
        <v>0.2</v>
      </c>
      <c r="L146" t="s">
        <v>23</v>
      </c>
      <c r="M146" t="s">
        <v>19</v>
      </c>
      <c r="N146" t="s">
        <v>51</v>
      </c>
      <c r="O146" s="6">
        <f>SalesMaster[[#This Row],[Sales_Amount]]*SalesMaster[[#This Row],[Quantity_Sold]]</f>
        <v>406252.49</v>
      </c>
      <c r="P146" s="6">
        <f>SalesMaster[[#This Row],[Quantity_Sold]]*SalesMaster[[#This Row],[Unit_Cost]]</f>
        <v>162166.92000000001</v>
      </c>
      <c r="Q146" s="6">
        <f>SalesMaster[[#This Row],[Total_Sales]]-SalesMaster[[#This Row],[Total_Cost]]</f>
        <v>244085.56999999998</v>
      </c>
      <c r="R146" s="1">
        <f>IFERROR(SalesMaster[Net Profit]/SalesMaster[Total_Sales], 0)</f>
        <v>0.60082233588279044</v>
      </c>
      <c r="S146" t="str">
        <f>TEXT(SalesMaster[[#This Row],[Sale_Date]], "mmm")</f>
        <v>Feb</v>
      </c>
      <c r="T146" s="6" t="str">
        <f>IF(SalesMaster[Profit_Margin]&gt;=0.15, "Excellent", IF(SalesMaster[Profit_Margin]&gt;=0.05, "Average", "Needs Improvement"))</f>
        <v>Excellent</v>
      </c>
    </row>
    <row r="147" spans="1:20">
      <c r="A147">
        <v>1074</v>
      </c>
      <c r="B147" s="2">
        <v>44972</v>
      </c>
      <c r="C147" t="s">
        <v>35</v>
      </c>
      <c r="D147" t="s">
        <v>33</v>
      </c>
      <c r="E147">
        <v>1383.82</v>
      </c>
      <c r="F147">
        <v>1</v>
      </c>
      <c r="G147" t="s">
        <v>26</v>
      </c>
      <c r="H147">
        <v>1304.23</v>
      </c>
      <c r="I147">
        <v>1705.71</v>
      </c>
      <c r="J147" t="s">
        <v>17</v>
      </c>
      <c r="K147">
        <v>0.01</v>
      </c>
      <c r="L147" t="s">
        <v>18</v>
      </c>
      <c r="M147" t="s">
        <v>28</v>
      </c>
      <c r="N147" t="s">
        <v>52</v>
      </c>
      <c r="O147" s="6">
        <f>SalesMaster[[#This Row],[Sales_Amount]]*SalesMaster[[#This Row],[Quantity_Sold]]</f>
        <v>1383.82</v>
      </c>
      <c r="P147" s="6">
        <f>SalesMaster[[#This Row],[Quantity_Sold]]*SalesMaster[[#This Row],[Unit_Cost]]</f>
        <v>1304.23</v>
      </c>
      <c r="Q147" s="6">
        <f>SalesMaster[[#This Row],[Total_Sales]]-SalesMaster[[#This Row],[Total_Cost]]</f>
        <v>79.589999999999918</v>
      </c>
      <c r="R147" s="1">
        <f>IFERROR(SalesMaster[Net Profit]/SalesMaster[Total_Sales], 0)</f>
        <v>5.7514705669812489E-2</v>
      </c>
      <c r="S147" t="str">
        <f>TEXT(SalesMaster[[#This Row],[Sale_Date]], "mmm")</f>
        <v>Feb</v>
      </c>
      <c r="T147" s="6" t="str">
        <f>IF(SalesMaster[Profit_Margin]&gt;=0.15, "Excellent", IF(SalesMaster[Profit_Margin]&gt;=0.05, "Average", "Needs Improvement"))</f>
        <v>Average</v>
      </c>
    </row>
    <row r="148" spans="1:20">
      <c r="A148">
        <v>1044</v>
      </c>
      <c r="B148" s="2">
        <v>44973</v>
      </c>
      <c r="C148" t="s">
        <v>30</v>
      </c>
      <c r="D148" t="s">
        <v>25</v>
      </c>
      <c r="E148">
        <v>7754.1</v>
      </c>
      <c r="F148">
        <v>22</v>
      </c>
      <c r="G148" t="s">
        <v>41</v>
      </c>
      <c r="H148">
        <v>3373.46</v>
      </c>
      <c r="I148">
        <v>3454.76</v>
      </c>
      <c r="J148" t="s">
        <v>17</v>
      </c>
      <c r="K148">
        <v>0.22</v>
      </c>
      <c r="L148" t="s">
        <v>27</v>
      </c>
      <c r="M148" t="s">
        <v>28</v>
      </c>
      <c r="N148" t="s">
        <v>32</v>
      </c>
      <c r="O148" s="6">
        <f>SalesMaster[[#This Row],[Sales_Amount]]*SalesMaster[[#This Row],[Quantity_Sold]]</f>
        <v>170590.2</v>
      </c>
      <c r="P148" s="6">
        <f>SalesMaster[[#This Row],[Quantity_Sold]]*SalesMaster[[#This Row],[Unit_Cost]]</f>
        <v>74216.12</v>
      </c>
      <c r="Q148" s="6">
        <f>SalesMaster[[#This Row],[Total_Sales]]-SalesMaster[[#This Row],[Total_Cost]]</f>
        <v>96374.080000000016</v>
      </c>
      <c r="R148" s="1">
        <f>IFERROR(SalesMaster[Net Profit]/SalesMaster[Total_Sales], 0)</f>
        <v>0.56494499684038124</v>
      </c>
      <c r="S148" t="str">
        <f>TEXT(SalesMaster[[#This Row],[Sale_Date]], "mmm")</f>
        <v>Feb</v>
      </c>
      <c r="T148" s="6" t="str">
        <f>IF(SalesMaster[Profit_Margin]&gt;=0.15, "Excellent", IF(SalesMaster[Profit_Margin]&gt;=0.05, "Average", "Needs Improvement"))</f>
        <v>Excellent</v>
      </c>
    </row>
    <row r="149" spans="1:20">
      <c r="A149">
        <v>1028</v>
      </c>
      <c r="B149" s="2">
        <v>44973</v>
      </c>
      <c r="C149" t="s">
        <v>35</v>
      </c>
      <c r="D149" t="s">
        <v>36</v>
      </c>
      <c r="E149">
        <v>4344.1499999999996</v>
      </c>
      <c r="F149">
        <v>24</v>
      </c>
      <c r="G149" t="s">
        <v>31</v>
      </c>
      <c r="H149">
        <v>1969.09</v>
      </c>
      <c r="I149">
        <v>2241.96</v>
      </c>
      <c r="J149" t="s">
        <v>17</v>
      </c>
      <c r="K149">
        <v>0.02</v>
      </c>
      <c r="L149" t="s">
        <v>23</v>
      </c>
      <c r="M149" t="s">
        <v>19</v>
      </c>
      <c r="N149" t="s">
        <v>37</v>
      </c>
      <c r="O149" s="6">
        <f>SalesMaster[[#This Row],[Sales_Amount]]*SalesMaster[[#This Row],[Quantity_Sold]]</f>
        <v>104259.59999999999</v>
      </c>
      <c r="P149" s="6">
        <f>SalesMaster[[#This Row],[Quantity_Sold]]*SalesMaster[[#This Row],[Unit_Cost]]</f>
        <v>47258.159999999996</v>
      </c>
      <c r="Q149" s="6">
        <f>SalesMaster[[#This Row],[Total_Sales]]-SalesMaster[[#This Row],[Total_Cost]]</f>
        <v>57001.439999999995</v>
      </c>
      <c r="R149" s="1">
        <f>IFERROR(SalesMaster[Net Profit]/SalesMaster[Total_Sales], 0)</f>
        <v>0.54672605688109299</v>
      </c>
      <c r="S149" t="str">
        <f>TEXT(SalesMaster[[#This Row],[Sale_Date]], "mmm")</f>
        <v>Feb</v>
      </c>
      <c r="T149" s="6" t="str">
        <f>IF(SalesMaster[Profit_Margin]&gt;=0.15, "Excellent", IF(SalesMaster[Profit_Margin]&gt;=0.05, "Average", "Needs Improvement"))</f>
        <v>Excellent</v>
      </c>
    </row>
    <row r="150" spans="1:20">
      <c r="A150">
        <v>1010</v>
      </c>
      <c r="B150" s="2">
        <v>44973</v>
      </c>
      <c r="C150" t="s">
        <v>30</v>
      </c>
      <c r="D150" t="s">
        <v>36</v>
      </c>
      <c r="E150">
        <v>1678.97</v>
      </c>
      <c r="F150">
        <v>47</v>
      </c>
      <c r="G150" t="s">
        <v>26</v>
      </c>
      <c r="H150">
        <v>2265.38</v>
      </c>
      <c r="I150">
        <v>2429.9299999999998</v>
      </c>
      <c r="J150" t="s">
        <v>17</v>
      </c>
      <c r="K150">
        <v>0.06</v>
      </c>
      <c r="L150" t="s">
        <v>27</v>
      </c>
      <c r="M150" t="s">
        <v>19</v>
      </c>
      <c r="N150" t="s">
        <v>46</v>
      </c>
      <c r="O150" s="6">
        <f>SalesMaster[[#This Row],[Sales_Amount]]*SalesMaster[[#This Row],[Quantity_Sold]]</f>
        <v>78911.59</v>
      </c>
      <c r="P150" s="6">
        <f>SalesMaster[[#This Row],[Quantity_Sold]]*SalesMaster[[#This Row],[Unit_Cost]]</f>
        <v>106472.86</v>
      </c>
      <c r="Q150" s="6">
        <f>SalesMaster[[#This Row],[Total_Sales]]-SalesMaster[[#This Row],[Total_Cost]]</f>
        <v>-27561.270000000004</v>
      </c>
      <c r="R150" s="1">
        <f>IFERROR(SalesMaster[Net Profit]/SalesMaster[Total_Sales], 0)</f>
        <v>-0.34926770579581534</v>
      </c>
      <c r="S150" t="str">
        <f>TEXT(SalesMaster[[#This Row],[Sale_Date]], "mmm")</f>
        <v>Feb</v>
      </c>
      <c r="T150" s="6" t="str">
        <f>IF(SalesMaster[Profit_Margin]&gt;=0.15, "Excellent", IF(SalesMaster[Profit_Margin]&gt;=0.05, "Average", "Needs Improvement"))</f>
        <v>Needs Improvement</v>
      </c>
    </row>
    <row r="151" spans="1:20">
      <c r="A151">
        <v>1053</v>
      </c>
      <c r="B151" s="2">
        <v>44973</v>
      </c>
      <c r="C151" t="s">
        <v>14</v>
      </c>
      <c r="D151" t="s">
        <v>33</v>
      </c>
      <c r="E151">
        <v>3939.48</v>
      </c>
      <c r="F151">
        <v>11</v>
      </c>
      <c r="G151" t="s">
        <v>26</v>
      </c>
      <c r="H151">
        <v>1582.86</v>
      </c>
      <c r="I151">
        <v>1942.55</v>
      </c>
      <c r="J151" t="s">
        <v>22</v>
      </c>
      <c r="K151">
        <v>0.17</v>
      </c>
      <c r="L151" t="s">
        <v>23</v>
      </c>
      <c r="M151" t="s">
        <v>28</v>
      </c>
      <c r="N151" t="s">
        <v>45</v>
      </c>
      <c r="O151" s="6">
        <f>SalesMaster[[#This Row],[Sales_Amount]]*SalesMaster[[#This Row],[Quantity_Sold]]</f>
        <v>43334.28</v>
      </c>
      <c r="P151" s="6">
        <f>SalesMaster[[#This Row],[Quantity_Sold]]*SalesMaster[[#This Row],[Unit_Cost]]</f>
        <v>17411.46</v>
      </c>
      <c r="Q151" s="6">
        <f>SalesMaster[[#This Row],[Total_Sales]]-SalesMaster[[#This Row],[Total_Cost]]</f>
        <v>25922.82</v>
      </c>
      <c r="R151" s="1">
        <f>IFERROR(SalesMaster[Net Profit]/SalesMaster[Total_Sales], 0)</f>
        <v>0.59820585457979225</v>
      </c>
      <c r="S151" t="str">
        <f>TEXT(SalesMaster[[#This Row],[Sale_Date]], "mmm")</f>
        <v>Feb</v>
      </c>
      <c r="T151" s="6" t="str">
        <f>IF(SalesMaster[Profit_Margin]&gt;=0.15, "Excellent", IF(SalesMaster[Profit_Margin]&gt;=0.05, "Average", "Needs Improvement"))</f>
        <v>Excellent</v>
      </c>
    </row>
    <row r="152" spans="1:20">
      <c r="A152">
        <v>1001</v>
      </c>
      <c r="B152" s="2">
        <v>44975</v>
      </c>
      <c r="C152" t="s">
        <v>30</v>
      </c>
      <c r="D152" t="s">
        <v>33</v>
      </c>
      <c r="E152">
        <v>7154.95</v>
      </c>
      <c r="F152">
        <v>27</v>
      </c>
      <c r="G152" t="s">
        <v>16</v>
      </c>
      <c r="H152">
        <v>939.02</v>
      </c>
      <c r="I152">
        <v>1286.92</v>
      </c>
      <c r="J152" t="s">
        <v>17</v>
      </c>
      <c r="K152">
        <v>7.0000000000000007E-2</v>
      </c>
      <c r="L152" t="s">
        <v>23</v>
      </c>
      <c r="M152" t="s">
        <v>28</v>
      </c>
      <c r="N152" t="s">
        <v>34</v>
      </c>
      <c r="O152" s="6">
        <f>SalesMaster[[#This Row],[Sales_Amount]]*SalesMaster[[#This Row],[Quantity_Sold]]</f>
        <v>193183.65</v>
      </c>
      <c r="P152" s="6">
        <f>SalesMaster[[#This Row],[Quantity_Sold]]*SalesMaster[[#This Row],[Unit_Cost]]</f>
        <v>25353.54</v>
      </c>
      <c r="Q152" s="6">
        <f>SalesMaster[[#This Row],[Total_Sales]]-SalesMaster[[#This Row],[Total_Cost]]</f>
        <v>167830.11</v>
      </c>
      <c r="R152" s="1">
        <f>IFERROR(SalesMaster[Net Profit]/SalesMaster[Total_Sales], 0)</f>
        <v>0.86875939035213379</v>
      </c>
      <c r="S152" t="str">
        <f>TEXT(SalesMaster[[#This Row],[Sale_Date]], "mmm")</f>
        <v>Feb</v>
      </c>
      <c r="T152" s="6" t="str">
        <f>IF(SalesMaster[Profit_Margin]&gt;=0.15, "Excellent", IF(SalesMaster[Profit_Margin]&gt;=0.05, "Average", "Needs Improvement"))</f>
        <v>Excellent</v>
      </c>
    </row>
    <row r="153" spans="1:20">
      <c r="A153">
        <v>1007</v>
      </c>
      <c r="B153" s="2">
        <v>44975</v>
      </c>
      <c r="C153" t="s">
        <v>42</v>
      </c>
      <c r="D153" t="s">
        <v>25</v>
      </c>
      <c r="E153">
        <v>876.71</v>
      </c>
      <c r="F153">
        <v>34</v>
      </c>
      <c r="G153" t="s">
        <v>16</v>
      </c>
      <c r="H153">
        <v>1921.07</v>
      </c>
      <c r="I153">
        <v>2289.27</v>
      </c>
      <c r="J153" t="s">
        <v>17</v>
      </c>
      <c r="K153">
        <v>7.0000000000000007E-2</v>
      </c>
      <c r="L153" t="s">
        <v>27</v>
      </c>
      <c r="M153" t="s">
        <v>28</v>
      </c>
      <c r="N153" t="s">
        <v>49</v>
      </c>
      <c r="O153" s="6">
        <f>SalesMaster[[#This Row],[Sales_Amount]]*SalesMaster[[#This Row],[Quantity_Sold]]</f>
        <v>29808.14</v>
      </c>
      <c r="P153" s="6">
        <f>SalesMaster[[#This Row],[Quantity_Sold]]*SalesMaster[[#This Row],[Unit_Cost]]</f>
        <v>65316.38</v>
      </c>
      <c r="Q153" s="6">
        <f>SalesMaster[[#This Row],[Total_Sales]]-SalesMaster[[#This Row],[Total_Cost]]</f>
        <v>-35508.239999999998</v>
      </c>
      <c r="R153" s="1">
        <f>IFERROR(SalesMaster[Net Profit]/SalesMaster[Total_Sales], 0)</f>
        <v>-1.1912262891948306</v>
      </c>
      <c r="S153" t="str">
        <f>TEXT(SalesMaster[[#This Row],[Sale_Date]], "mmm")</f>
        <v>Feb</v>
      </c>
      <c r="T153" s="6" t="str">
        <f>IF(SalesMaster[Profit_Margin]&gt;=0.15, "Excellent", IF(SalesMaster[Profit_Margin]&gt;=0.05, "Average", "Needs Improvement"))</f>
        <v>Needs Improvement</v>
      </c>
    </row>
    <row r="154" spans="1:20">
      <c r="A154">
        <v>1003</v>
      </c>
      <c r="B154" s="2">
        <v>44976</v>
      </c>
      <c r="C154" t="s">
        <v>42</v>
      </c>
      <c r="D154" t="s">
        <v>36</v>
      </c>
      <c r="E154">
        <v>937.2</v>
      </c>
      <c r="F154">
        <v>45</v>
      </c>
      <c r="G154" t="s">
        <v>31</v>
      </c>
      <c r="H154">
        <v>4974.1400000000003</v>
      </c>
      <c r="I154">
        <v>5227.93</v>
      </c>
      <c r="J154" t="s">
        <v>22</v>
      </c>
      <c r="K154">
        <v>0.21</v>
      </c>
      <c r="L154" t="s">
        <v>27</v>
      </c>
      <c r="M154" t="s">
        <v>19</v>
      </c>
      <c r="N154" t="s">
        <v>43</v>
      </c>
      <c r="O154" s="6">
        <f>SalesMaster[[#This Row],[Sales_Amount]]*SalesMaster[[#This Row],[Quantity_Sold]]</f>
        <v>42174</v>
      </c>
      <c r="P154" s="6">
        <f>SalesMaster[[#This Row],[Quantity_Sold]]*SalesMaster[[#This Row],[Unit_Cost]]</f>
        <v>223836.30000000002</v>
      </c>
      <c r="Q154" s="6">
        <f>SalesMaster[[#This Row],[Total_Sales]]-SalesMaster[[#This Row],[Total_Cost]]</f>
        <v>-181662.30000000002</v>
      </c>
      <c r="R154" s="1">
        <f>IFERROR(SalesMaster[Net Profit]/SalesMaster[Total_Sales], 0)</f>
        <v>-4.3074477166026464</v>
      </c>
      <c r="S154" t="str">
        <f>TEXT(SalesMaster[[#This Row],[Sale_Date]], "mmm")</f>
        <v>Feb</v>
      </c>
      <c r="T154" s="6" t="str">
        <f>IF(SalesMaster[Profit_Margin]&gt;=0.15, "Excellent", IF(SalesMaster[Profit_Margin]&gt;=0.05, "Average", "Needs Improvement"))</f>
        <v>Needs Improvement</v>
      </c>
    </row>
    <row r="155" spans="1:20">
      <c r="A155">
        <v>1084</v>
      </c>
      <c r="B155" s="2">
        <v>44976</v>
      </c>
      <c r="C155" t="s">
        <v>30</v>
      </c>
      <c r="D155" t="s">
        <v>33</v>
      </c>
      <c r="E155">
        <v>2154.66</v>
      </c>
      <c r="F155">
        <v>35</v>
      </c>
      <c r="G155" t="s">
        <v>41</v>
      </c>
      <c r="H155">
        <v>465.61</v>
      </c>
      <c r="I155">
        <v>812.91</v>
      </c>
      <c r="J155" t="s">
        <v>22</v>
      </c>
      <c r="K155">
        <v>0.16</v>
      </c>
      <c r="L155" t="s">
        <v>27</v>
      </c>
      <c r="M155" t="s">
        <v>19</v>
      </c>
      <c r="N155" t="s">
        <v>34</v>
      </c>
      <c r="O155" s="6">
        <f>SalesMaster[[#This Row],[Sales_Amount]]*SalesMaster[[#This Row],[Quantity_Sold]]</f>
        <v>75413.099999999991</v>
      </c>
      <c r="P155" s="6">
        <f>SalesMaster[[#This Row],[Quantity_Sold]]*SalesMaster[[#This Row],[Unit_Cost]]</f>
        <v>16296.35</v>
      </c>
      <c r="Q155" s="6">
        <f>SalesMaster[[#This Row],[Total_Sales]]-SalesMaster[[#This Row],[Total_Cost]]</f>
        <v>59116.749999999993</v>
      </c>
      <c r="R155" s="1">
        <f>IFERROR(SalesMaster[Net Profit]/SalesMaster[Total_Sales], 0)</f>
        <v>0.7839055813910315</v>
      </c>
      <c r="S155" t="str">
        <f>TEXT(SalesMaster[[#This Row],[Sale_Date]], "mmm")</f>
        <v>Feb</v>
      </c>
      <c r="T155" s="6" t="str">
        <f>IF(SalesMaster[Profit_Margin]&gt;=0.15, "Excellent", IF(SalesMaster[Profit_Margin]&gt;=0.05, "Average", "Needs Improvement"))</f>
        <v>Excellent</v>
      </c>
    </row>
    <row r="156" spans="1:20">
      <c r="A156">
        <v>1002</v>
      </c>
      <c r="B156" s="2">
        <v>44977</v>
      </c>
      <c r="C156" t="s">
        <v>21</v>
      </c>
      <c r="D156" t="s">
        <v>33</v>
      </c>
      <c r="E156">
        <v>9469.92</v>
      </c>
      <c r="F156">
        <v>26</v>
      </c>
      <c r="G156" t="s">
        <v>41</v>
      </c>
      <c r="H156">
        <v>508.94</v>
      </c>
      <c r="I156">
        <v>557.69000000000005</v>
      </c>
      <c r="J156" t="s">
        <v>22</v>
      </c>
      <c r="K156">
        <v>0.22</v>
      </c>
      <c r="L156" t="s">
        <v>23</v>
      </c>
      <c r="M156" t="s">
        <v>28</v>
      </c>
      <c r="N156" t="s">
        <v>48</v>
      </c>
      <c r="O156" s="6">
        <f>SalesMaster[[#This Row],[Sales_Amount]]*SalesMaster[[#This Row],[Quantity_Sold]]</f>
        <v>246217.92</v>
      </c>
      <c r="P156" s="6">
        <f>SalesMaster[[#This Row],[Quantity_Sold]]*SalesMaster[[#This Row],[Unit_Cost]]</f>
        <v>13232.44</v>
      </c>
      <c r="Q156" s="6">
        <f>SalesMaster[[#This Row],[Total_Sales]]-SalesMaster[[#This Row],[Total_Cost]]</f>
        <v>232985.48</v>
      </c>
      <c r="R156" s="1">
        <f>IFERROR(SalesMaster[Net Profit]/SalesMaster[Total_Sales], 0)</f>
        <v>0.94625720175038441</v>
      </c>
      <c r="S156" t="str">
        <f>TEXT(SalesMaster[[#This Row],[Sale_Date]], "mmm")</f>
        <v>Feb</v>
      </c>
      <c r="T156" s="6" t="str">
        <f>IF(SalesMaster[Profit_Margin]&gt;=0.15, "Excellent", IF(SalesMaster[Profit_Margin]&gt;=0.05, "Average", "Needs Improvement"))</f>
        <v>Excellent</v>
      </c>
    </row>
    <row r="157" spans="1:20">
      <c r="A157">
        <v>1017</v>
      </c>
      <c r="B157" s="2">
        <v>44977</v>
      </c>
      <c r="C157" t="s">
        <v>21</v>
      </c>
      <c r="D157" t="s">
        <v>15</v>
      </c>
      <c r="E157">
        <v>8189.57</v>
      </c>
      <c r="F157">
        <v>16</v>
      </c>
      <c r="G157" t="s">
        <v>26</v>
      </c>
      <c r="H157">
        <v>102.23</v>
      </c>
      <c r="I157">
        <v>167.12</v>
      </c>
      <c r="J157" t="s">
        <v>22</v>
      </c>
      <c r="K157">
        <v>0.04</v>
      </c>
      <c r="L157" t="s">
        <v>23</v>
      </c>
      <c r="M157" t="s">
        <v>28</v>
      </c>
      <c r="N157" t="s">
        <v>24</v>
      </c>
      <c r="O157" s="6">
        <f>SalesMaster[[#This Row],[Sales_Amount]]*SalesMaster[[#This Row],[Quantity_Sold]]</f>
        <v>131033.12</v>
      </c>
      <c r="P157" s="6">
        <f>SalesMaster[[#This Row],[Quantity_Sold]]*SalesMaster[[#This Row],[Unit_Cost]]</f>
        <v>1635.68</v>
      </c>
      <c r="Q157" s="6">
        <f>SalesMaster[[#This Row],[Total_Sales]]-SalesMaster[[#This Row],[Total_Cost]]</f>
        <v>129397.44</v>
      </c>
      <c r="R157" s="1">
        <f>IFERROR(SalesMaster[Net Profit]/SalesMaster[Total_Sales], 0)</f>
        <v>0.98751704912467941</v>
      </c>
      <c r="S157" t="str">
        <f>TEXT(SalesMaster[[#This Row],[Sale_Date]], "mmm")</f>
        <v>Feb</v>
      </c>
      <c r="T157" s="6" t="str">
        <f>IF(SalesMaster[Profit_Margin]&gt;=0.15, "Excellent", IF(SalesMaster[Profit_Margin]&gt;=0.05, "Average", "Needs Improvement"))</f>
        <v>Excellent</v>
      </c>
    </row>
    <row r="158" spans="1:20">
      <c r="A158">
        <v>1049</v>
      </c>
      <c r="B158" s="2">
        <v>44978</v>
      </c>
      <c r="C158" t="s">
        <v>42</v>
      </c>
      <c r="D158" t="s">
        <v>36</v>
      </c>
      <c r="E158">
        <v>783.55</v>
      </c>
      <c r="F158">
        <v>31</v>
      </c>
      <c r="G158" t="s">
        <v>31</v>
      </c>
      <c r="H158">
        <v>3570.24</v>
      </c>
      <c r="I158">
        <v>3712.25</v>
      </c>
      <c r="J158" t="s">
        <v>22</v>
      </c>
      <c r="K158">
        <v>0.03</v>
      </c>
      <c r="L158" t="s">
        <v>23</v>
      </c>
      <c r="M158" t="s">
        <v>19</v>
      </c>
      <c r="N158" t="s">
        <v>43</v>
      </c>
      <c r="O158" s="6">
        <f>SalesMaster[[#This Row],[Sales_Amount]]*SalesMaster[[#This Row],[Quantity_Sold]]</f>
        <v>24290.05</v>
      </c>
      <c r="P158" s="6">
        <f>SalesMaster[[#This Row],[Quantity_Sold]]*SalesMaster[[#This Row],[Unit_Cost]]</f>
        <v>110677.43999999999</v>
      </c>
      <c r="Q158" s="6">
        <f>SalesMaster[[#This Row],[Total_Sales]]-SalesMaster[[#This Row],[Total_Cost]]</f>
        <v>-86387.389999999985</v>
      </c>
      <c r="R158" s="1">
        <f>IFERROR(SalesMaster[Net Profit]/SalesMaster[Total_Sales], 0)</f>
        <v>-3.5564928849467163</v>
      </c>
      <c r="S158" t="str">
        <f>TEXT(SalesMaster[[#This Row],[Sale_Date]], "mmm")</f>
        <v>Feb</v>
      </c>
      <c r="T158" s="6" t="str">
        <f>IF(SalesMaster[Profit_Margin]&gt;=0.15, "Excellent", IF(SalesMaster[Profit_Margin]&gt;=0.05, "Average", "Needs Improvement"))</f>
        <v>Needs Improvement</v>
      </c>
    </row>
    <row r="159" spans="1:20">
      <c r="A159">
        <v>1046</v>
      </c>
      <c r="B159" s="2">
        <v>44979</v>
      </c>
      <c r="C159" t="s">
        <v>42</v>
      </c>
      <c r="D159" t="s">
        <v>25</v>
      </c>
      <c r="E159">
        <v>3391.32</v>
      </c>
      <c r="F159">
        <v>46</v>
      </c>
      <c r="G159" t="s">
        <v>16</v>
      </c>
      <c r="H159">
        <v>2551.56</v>
      </c>
      <c r="I159">
        <v>2841.68</v>
      </c>
      <c r="J159" t="s">
        <v>22</v>
      </c>
      <c r="K159">
        <v>0.09</v>
      </c>
      <c r="L159" t="s">
        <v>27</v>
      </c>
      <c r="M159" t="s">
        <v>28</v>
      </c>
      <c r="N159" t="s">
        <v>49</v>
      </c>
      <c r="O159" s="6">
        <f>SalesMaster[[#This Row],[Sales_Amount]]*SalesMaster[[#This Row],[Quantity_Sold]]</f>
        <v>156000.72</v>
      </c>
      <c r="P159" s="6">
        <f>SalesMaster[[#This Row],[Quantity_Sold]]*SalesMaster[[#This Row],[Unit_Cost]]</f>
        <v>117371.76</v>
      </c>
      <c r="Q159" s="6">
        <f>SalesMaster[[#This Row],[Total_Sales]]-SalesMaster[[#This Row],[Total_Cost]]</f>
        <v>38628.960000000006</v>
      </c>
      <c r="R159" s="1">
        <f>IFERROR(SalesMaster[Net Profit]/SalesMaster[Total_Sales], 0)</f>
        <v>0.2476203955981742</v>
      </c>
      <c r="S159" t="str">
        <f>TEXT(SalesMaster[[#This Row],[Sale_Date]], "mmm")</f>
        <v>Feb</v>
      </c>
      <c r="T159" s="6" t="str">
        <f>IF(SalesMaster[Profit_Margin]&gt;=0.15, "Excellent", IF(SalesMaster[Profit_Margin]&gt;=0.05, "Average", "Needs Improvement"))</f>
        <v>Excellent</v>
      </c>
    </row>
    <row r="160" spans="1:20">
      <c r="A160">
        <v>1048</v>
      </c>
      <c r="B160" s="2">
        <v>44980</v>
      </c>
      <c r="C160" t="s">
        <v>35</v>
      </c>
      <c r="D160" t="s">
        <v>33</v>
      </c>
      <c r="E160">
        <v>7066.63</v>
      </c>
      <c r="F160">
        <v>47</v>
      </c>
      <c r="G160" t="s">
        <v>41</v>
      </c>
      <c r="H160">
        <v>4535.8599999999997</v>
      </c>
      <c r="I160">
        <v>4641.41</v>
      </c>
      <c r="J160" t="s">
        <v>22</v>
      </c>
      <c r="K160">
        <v>0.27</v>
      </c>
      <c r="L160" t="s">
        <v>23</v>
      </c>
      <c r="M160" t="s">
        <v>28</v>
      </c>
      <c r="N160" t="s">
        <v>52</v>
      </c>
      <c r="O160" s="6">
        <f>SalesMaster[[#This Row],[Sales_Amount]]*SalesMaster[[#This Row],[Quantity_Sold]]</f>
        <v>332131.61</v>
      </c>
      <c r="P160" s="6">
        <f>SalesMaster[[#This Row],[Quantity_Sold]]*SalesMaster[[#This Row],[Unit_Cost]]</f>
        <v>213185.41999999998</v>
      </c>
      <c r="Q160" s="6">
        <f>SalesMaster[[#This Row],[Total_Sales]]-SalesMaster[[#This Row],[Total_Cost]]</f>
        <v>118946.19</v>
      </c>
      <c r="R160" s="1">
        <f>IFERROR(SalesMaster[Net Profit]/SalesMaster[Total_Sales], 0)</f>
        <v>0.35812968840876064</v>
      </c>
      <c r="S160" t="str">
        <f>TEXT(SalesMaster[[#This Row],[Sale_Date]], "mmm")</f>
        <v>Feb</v>
      </c>
      <c r="T160" s="6" t="str">
        <f>IF(SalesMaster[Profit_Margin]&gt;=0.15, "Excellent", IF(SalesMaster[Profit_Margin]&gt;=0.05, "Average", "Needs Improvement"))</f>
        <v>Excellent</v>
      </c>
    </row>
    <row r="161" spans="1:20">
      <c r="A161">
        <v>1100</v>
      </c>
      <c r="B161" s="2">
        <v>44980</v>
      </c>
      <c r="C161" t="s">
        <v>14</v>
      </c>
      <c r="D161" t="s">
        <v>15</v>
      </c>
      <c r="E161">
        <v>849.43</v>
      </c>
      <c r="F161">
        <v>43</v>
      </c>
      <c r="G161" t="s">
        <v>26</v>
      </c>
      <c r="H161">
        <v>2116.09</v>
      </c>
      <c r="I161">
        <v>2472.98</v>
      </c>
      <c r="J161" t="s">
        <v>22</v>
      </c>
      <c r="K161">
        <v>0.01</v>
      </c>
      <c r="L161" t="s">
        <v>23</v>
      </c>
      <c r="M161" t="s">
        <v>28</v>
      </c>
      <c r="N161" t="s">
        <v>20</v>
      </c>
      <c r="O161" s="6">
        <f>SalesMaster[[#This Row],[Sales_Amount]]*SalesMaster[[#This Row],[Quantity_Sold]]</f>
        <v>36525.49</v>
      </c>
      <c r="P161" s="6">
        <f>SalesMaster[[#This Row],[Quantity_Sold]]*SalesMaster[[#This Row],[Unit_Cost]]</f>
        <v>90991.87000000001</v>
      </c>
      <c r="Q161" s="6">
        <f>SalesMaster[[#This Row],[Total_Sales]]-SalesMaster[[#This Row],[Total_Cost]]</f>
        <v>-54466.380000000012</v>
      </c>
      <c r="R161" s="1">
        <f>IFERROR(SalesMaster[Net Profit]/SalesMaster[Total_Sales], 0)</f>
        <v>-1.4911882085633901</v>
      </c>
      <c r="S161" t="str">
        <f>TEXT(SalesMaster[[#This Row],[Sale_Date]], "mmm")</f>
        <v>Feb</v>
      </c>
      <c r="T161" s="6" t="str">
        <f>IF(SalesMaster[Profit_Margin]&gt;=0.15, "Excellent", IF(SalesMaster[Profit_Margin]&gt;=0.05, "Average", "Needs Improvement"))</f>
        <v>Needs Improvement</v>
      </c>
    </row>
    <row r="162" spans="1:20">
      <c r="A162">
        <v>1068</v>
      </c>
      <c r="B162" s="2">
        <v>44981</v>
      </c>
      <c r="C162" t="s">
        <v>35</v>
      </c>
      <c r="D162" t="s">
        <v>15</v>
      </c>
      <c r="E162">
        <v>5118.51</v>
      </c>
      <c r="F162">
        <v>22</v>
      </c>
      <c r="G162" t="s">
        <v>16</v>
      </c>
      <c r="H162">
        <v>3619.61</v>
      </c>
      <c r="I162">
        <v>3651.42</v>
      </c>
      <c r="J162" t="s">
        <v>17</v>
      </c>
      <c r="K162">
        <v>0.26</v>
      </c>
      <c r="L162" t="s">
        <v>27</v>
      </c>
      <c r="M162" t="s">
        <v>19</v>
      </c>
      <c r="N162" t="s">
        <v>44</v>
      </c>
      <c r="O162" s="6">
        <f>SalesMaster[[#This Row],[Sales_Amount]]*SalesMaster[[#This Row],[Quantity_Sold]]</f>
        <v>112607.22</v>
      </c>
      <c r="P162" s="6">
        <f>SalesMaster[[#This Row],[Quantity_Sold]]*SalesMaster[[#This Row],[Unit_Cost]]</f>
        <v>79631.42</v>
      </c>
      <c r="Q162" s="6">
        <f>SalesMaster[[#This Row],[Total_Sales]]-SalesMaster[[#This Row],[Total_Cost]]</f>
        <v>32975.800000000003</v>
      </c>
      <c r="R162" s="1">
        <f>IFERROR(SalesMaster[Net Profit]/SalesMaster[Total_Sales], 0)</f>
        <v>0.29283912701157178</v>
      </c>
      <c r="S162" t="str">
        <f>TEXT(SalesMaster[[#This Row],[Sale_Date]], "mmm")</f>
        <v>Feb</v>
      </c>
      <c r="T162" s="6" t="str">
        <f>IF(SalesMaster[Profit_Margin]&gt;=0.15, "Excellent", IF(SalesMaster[Profit_Margin]&gt;=0.05, "Average", "Needs Improvement"))</f>
        <v>Excellent</v>
      </c>
    </row>
    <row r="163" spans="1:20">
      <c r="A163">
        <v>1099</v>
      </c>
      <c r="B163" s="2">
        <v>44981</v>
      </c>
      <c r="C163" t="s">
        <v>30</v>
      </c>
      <c r="D163" t="s">
        <v>36</v>
      </c>
      <c r="E163">
        <v>8090</v>
      </c>
      <c r="F163">
        <v>35</v>
      </c>
      <c r="G163" t="s">
        <v>16</v>
      </c>
      <c r="H163">
        <v>2610.19</v>
      </c>
      <c r="I163">
        <v>2682.53</v>
      </c>
      <c r="J163" t="s">
        <v>22</v>
      </c>
      <c r="K163">
        <v>0.14000000000000001</v>
      </c>
      <c r="L163" t="s">
        <v>18</v>
      </c>
      <c r="M163" t="s">
        <v>28</v>
      </c>
      <c r="N163" t="s">
        <v>46</v>
      </c>
      <c r="O163" s="6">
        <f>SalesMaster[[#This Row],[Sales_Amount]]*SalesMaster[[#This Row],[Quantity_Sold]]</f>
        <v>283150</v>
      </c>
      <c r="P163" s="6">
        <f>SalesMaster[[#This Row],[Quantity_Sold]]*SalesMaster[[#This Row],[Unit_Cost]]</f>
        <v>91356.650000000009</v>
      </c>
      <c r="Q163" s="6">
        <f>SalesMaster[[#This Row],[Total_Sales]]-SalesMaster[[#This Row],[Total_Cost]]</f>
        <v>191793.34999999998</v>
      </c>
      <c r="R163" s="1">
        <f>IFERROR(SalesMaster[Net Profit]/SalesMaster[Total_Sales], 0)</f>
        <v>0.67735599505562416</v>
      </c>
      <c r="S163" t="str">
        <f>TEXT(SalesMaster[[#This Row],[Sale_Date]], "mmm")</f>
        <v>Feb</v>
      </c>
      <c r="T163" s="6" t="str">
        <f>IF(SalesMaster[Profit_Margin]&gt;=0.15, "Excellent", IF(SalesMaster[Profit_Margin]&gt;=0.05, "Average", "Needs Improvement"))</f>
        <v>Excellent</v>
      </c>
    </row>
    <row r="164" spans="1:20">
      <c r="A164">
        <v>1054</v>
      </c>
      <c r="B164" s="2">
        <v>44981</v>
      </c>
      <c r="C164" t="s">
        <v>42</v>
      </c>
      <c r="D164" t="s">
        <v>15</v>
      </c>
      <c r="E164">
        <v>5664.52</v>
      </c>
      <c r="F164">
        <v>43</v>
      </c>
      <c r="G164" t="s">
        <v>41</v>
      </c>
      <c r="H164">
        <v>2124.7199999999998</v>
      </c>
      <c r="I164">
        <v>2188.66</v>
      </c>
      <c r="J164" t="s">
        <v>17</v>
      </c>
      <c r="K164">
        <v>0.03</v>
      </c>
      <c r="L164" t="s">
        <v>23</v>
      </c>
      <c r="M164" t="s">
        <v>28</v>
      </c>
      <c r="N164" t="s">
        <v>47</v>
      </c>
      <c r="O164" s="6">
        <f>SalesMaster[[#This Row],[Sales_Amount]]*SalesMaster[[#This Row],[Quantity_Sold]]</f>
        <v>243574.36000000002</v>
      </c>
      <c r="P164" s="6">
        <f>SalesMaster[[#This Row],[Quantity_Sold]]*SalesMaster[[#This Row],[Unit_Cost]]</f>
        <v>91362.959999999992</v>
      </c>
      <c r="Q164" s="6">
        <f>SalesMaster[[#This Row],[Total_Sales]]-SalesMaster[[#This Row],[Total_Cost]]</f>
        <v>152211.40000000002</v>
      </c>
      <c r="R164" s="1">
        <f>IFERROR(SalesMaster[Net Profit]/SalesMaster[Total_Sales], 0)</f>
        <v>0.62490731783099018</v>
      </c>
      <c r="S164" t="str">
        <f>TEXT(SalesMaster[[#This Row],[Sale_Date]], "mmm")</f>
        <v>Feb</v>
      </c>
      <c r="T164" s="6" t="str">
        <f>IF(SalesMaster[Profit_Margin]&gt;=0.15, "Excellent", IF(SalesMaster[Profit_Margin]&gt;=0.05, "Average", "Needs Improvement"))</f>
        <v>Excellent</v>
      </c>
    </row>
    <row r="165" spans="1:20">
      <c r="A165">
        <v>1094</v>
      </c>
      <c r="B165" s="2">
        <v>44981</v>
      </c>
      <c r="C165" t="s">
        <v>35</v>
      </c>
      <c r="D165" t="s">
        <v>33</v>
      </c>
      <c r="E165">
        <v>6171.59</v>
      </c>
      <c r="F165">
        <v>7</v>
      </c>
      <c r="G165" t="s">
        <v>26</v>
      </c>
      <c r="H165">
        <v>4122.38</v>
      </c>
      <c r="I165">
        <v>4358.78</v>
      </c>
      <c r="J165" t="s">
        <v>17</v>
      </c>
      <c r="K165">
        <v>0.26</v>
      </c>
      <c r="L165" t="s">
        <v>27</v>
      </c>
      <c r="M165" t="s">
        <v>28</v>
      </c>
      <c r="N165" t="s">
        <v>52</v>
      </c>
      <c r="O165" s="6">
        <f>SalesMaster[[#This Row],[Sales_Amount]]*SalesMaster[[#This Row],[Quantity_Sold]]</f>
        <v>43201.130000000005</v>
      </c>
      <c r="P165" s="6">
        <f>SalesMaster[[#This Row],[Quantity_Sold]]*SalesMaster[[#This Row],[Unit_Cost]]</f>
        <v>28856.66</v>
      </c>
      <c r="Q165" s="6">
        <f>SalesMaster[[#This Row],[Total_Sales]]-SalesMaster[[#This Row],[Total_Cost]]</f>
        <v>14344.470000000005</v>
      </c>
      <c r="R165" s="1">
        <f>IFERROR(SalesMaster[Net Profit]/SalesMaster[Total_Sales], 0)</f>
        <v>0.33203923138121627</v>
      </c>
      <c r="S165" t="str">
        <f>TEXT(SalesMaster[[#This Row],[Sale_Date]], "mmm")</f>
        <v>Feb</v>
      </c>
      <c r="T165" s="6" t="str">
        <f>IF(SalesMaster[Profit_Margin]&gt;=0.15, "Excellent", IF(SalesMaster[Profit_Margin]&gt;=0.05, "Average", "Needs Improvement"))</f>
        <v>Excellent</v>
      </c>
    </row>
    <row r="166" spans="1:20">
      <c r="A166">
        <v>1008</v>
      </c>
      <c r="B166" s="2">
        <v>44981</v>
      </c>
      <c r="C166" t="s">
        <v>14</v>
      </c>
      <c r="D166" t="s">
        <v>33</v>
      </c>
      <c r="E166">
        <v>5751.69</v>
      </c>
      <c r="F166">
        <v>22</v>
      </c>
      <c r="G166" t="s">
        <v>31</v>
      </c>
      <c r="H166">
        <v>2269.3200000000002</v>
      </c>
      <c r="I166">
        <v>2365.35</v>
      </c>
      <c r="J166" t="s">
        <v>22</v>
      </c>
      <c r="K166">
        <v>0.03</v>
      </c>
      <c r="L166" t="s">
        <v>18</v>
      </c>
      <c r="M166" t="s">
        <v>28</v>
      </c>
      <c r="N166" t="s">
        <v>45</v>
      </c>
      <c r="O166" s="6">
        <f>SalesMaster[[#This Row],[Sales_Amount]]*SalesMaster[[#This Row],[Quantity_Sold]]</f>
        <v>126537.18</v>
      </c>
      <c r="P166" s="6">
        <f>SalesMaster[[#This Row],[Quantity_Sold]]*SalesMaster[[#This Row],[Unit_Cost]]</f>
        <v>49925.04</v>
      </c>
      <c r="Q166" s="6">
        <f>SalesMaster[[#This Row],[Total_Sales]]-SalesMaster[[#This Row],[Total_Cost]]</f>
        <v>76612.139999999985</v>
      </c>
      <c r="R166" s="1">
        <f>IFERROR(SalesMaster[Net Profit]/SalesMaster[Total_Sales], 0)</f>
        <v>0.60545161509052114</v>
      </c>
      <c r="S166" t="str">
        <f>TEXT(SalesMaster[[#This Row],[Sale_Date]], "mmm")</f>
        <v>Feb</v>
      </c>
      <c r="T166" s="6" t="str">
        <f>IF(SalesMaster[Profit_Margin]&gt;=0.15, "Excellent", IF(SalesMaster[Profit_Margin]&gt;=0.05, "Average", "Needs Improvement"))</f>
        <v>Excellent</v>
      </c>
    </row>
    <row r="167" spans="1:20">
      <c r="A167">
        <v>1013</v>
      </c>
      <c r="B167" s="2">
        <v>44982</v>
      </c>
      <c r="C167" t="s">
        <v>14</v>
      </c>
      <c r="D167" t="s">
        <v>36</v>
      </c>
      <c r="E167">
        <v>4791.82</v>
      </c>
      <c r="F167">
        <v>31</v>
      </c>
      <c r="G167" t="s">
        <v>41</v>
      </c>
      <c r="H167">
        <v>2757.06</v>
      </c>
      <c r="I167">
        <v>3023.97</v>
      </c>
      <c r="J167" t="s">
        <v>17</v>
      </c>
      <c r="K167">
        <v>0.21</v>
      </c>
      <c r="L167" t="s">
        <v>18</v>
      </c>
      <c r="M167" t="s">
        <v>19</v>
      </c>
      <c r="N167" t="s">
        <v>39</v>
      </c>
      <c r="O167" s="6">
        <f>SalesMaster[[#This Row],[Sales_Amount]]*SalesMaster[[#This Row],[Quantity_Sold]]</f>
        <v>148546.41999999998</v>
      </c>
      <c r="P167" s="6">
        <f>SalesMaster[[#This Row],[Quantity_Sold]]*SalesMaster[[#This Row],[Unit_Cost]]</f>
        <v>85468.86</v>
      </c>
      <c r="Q167" s="6">
        <f>SalesMaster[[#This Row],[Total_Sales]]-SalesMaster[[#This Row],[Total_Cost]]</f>
        <v>63077.559999999983</v>
      </c>
      <c r="R167" s="1">
        <f>IFERROR(SalesMaster[Net Profit]/SalesMaster[Total_Sales], 0)</f>
        <v>0.42463197699412741</v>
      </c>
      <c r="S167" t="str">
        <f>TEXT(SalesMaster[[#This Row],[Sale_Date]], "mmm")</f>
        <v>Feb</v>
      </c>
      <c r="T167" s="6" t="str">
        <f>IF(SalesMaster[Profit_Margin]&gt;=0.15, "Excellent", IF(SalesMaster[Profit_Margin]&gt;=0.05, "Average", "Needs Improvement"))</f>
        <v>Excellent</v>
      </c>
    </row>
    <row r="168" spans="1:20">
      <c r="A168">
        <v>1086</v>
      </c>
      <c r="B168" s="2">
        <v>44983</v>
      </c>
      <c r="C168" t="s">
        <v>35</v>
      </c>
      <c r="D168" t="s">
        <v>33</v>
      </c>
      <c r="E168">
        <v>2559</v>
      </c>
      <c r="F168">
        <v>5</v>
      </c>
      <c r="G168" t="s">
        <v>31</v>
      </c>
      <c r="H168">
        <v>4934.1000000000004</v>
      </c>
      <c r="I168">
        <v>5191.0200000000004</v>
      </c>
      <c r="J168" t="s">
        <v>22</v>
      </c>
      <c r="K168">
        <v>0.3</v>
      </c>
      <c r="L168" t="s">
        <v>27</v>
      </c>
      <c r="M168" t="s">
        <v>19</v>
      </c>
      <c r="N168" t="s">
        <v>52</v>
      </c>
      <c r="O168" s="6">
        <f>SalesMaster[[#This Row],[Sales_Amount]]*SalesMaster[[#This Row],[Quantity_Sold]]</f>
        <v>12795</v>
      </c>
      <c r="P168" s="6">
        <f>SalesMaster[[#This Row],[Quantity_Sold]]*SalesMaster[[#This Row],[Unit_Cost]]</f>
        <v>24670.5</v>
      </c>
      <c r="Q168" s="6">
        <f>SalesMaster[[#This Row],[Total_Sales]]-SalesMaster[[#This Row],[Total_Cost]]</f>
        <v>-11875.5</v>
      </c>
      <c r="R168" s="1">
        <f>IFERROR(SalesMaster[Net Profit]/SalesMaster[Total_Sales], 0)</f>
        <v>-0.92813599062133645</v>
      </c>
      <c r="S168" t="str">
        <f>TEXT(SalesMaster[[#This Row],[Sale_Date]], "mmm")</f>
        <v>Feb</v>
      </c>
      <c r="T168" s="6" t="str">
        <f>IF(SalesMaster[Profit_Margin]&gt;=0.15, "Excellent", IF(SalesMaster[Profit_Margin]&gt;=0.05, "Average", "Needs Improvement"))</f>
        <v>Needs Improvement</v>
      </c>
    </row>
    <row r="169" spans="1:20">
      <c r="A169">
        <v>1085</v>
      </c>
      <c r="B169" s="2">
        <v>44984</v>
      </c>
      <c r="C169" t="s">
        <v>14</v>
      </c>
      <c r="D169" t="s">
        <v>33</v>
      </c>
      <c r="E169">
        <v>5324.01</v>
      </c>
      <c r="F169">
        <v>45</v>
      </c>
      <c r="G169" t="s">
        <v>26</v>
      </c>
      <c r="H169">
        <v>3325.96</v>
      </c>
      <c r="I169">
        <v>3781.4</v>
      </c>
      <c r="J169" t="s">
        <v>17</v>
      </c>
      <c r="K169">
        <v>0.27</v>
      </c>
      <c r="L169" t="s">
        <v>23</v>
      </c>
      <c r="M169" t="s">
        <v>19</v>
      </c>
      <c r="N169" t="s">
        <v>45</v>
      </c>
      <c r="O169" s="6">
        <f>SalesMaster[[#This Row],[Sales_Amount]]*SalesMaster[[#This Row],[Quantity_Sold]]</f>
        <v>239580.45</v>
      </c>
      <c r="P169" s="6">
        <f>SalesMaster[[#This Row],[Quantity_Sold]]*SalesMaster[[#This Row],[Unit_Cost]]</f>
        <v>149668.20000000001</v>
      </c>
      <c r="Q169" s="6">
        <f>SalesMaster[[#This Row],[Total_Sales]]-SalesMaster[[#This Row],[Total_Cost]]</f>
        <v>89912.25</v>
      </c>
      <c r="R169" s="1">
        <f>IFERROR(SalesMaster[Net Profit]/SalesMaster[Total_Sales], 0)</f>
        <v>0.37529042958221337</v>
      </c>
      <c r="S169" t="str">
        <f>TEXT(SalesMaster[[#This Row],[Sale_Date]], "mmm")</f>
        <v>Feb</v>
      </c>
      <c r="T169" s="6" t="str">
        <f>IF(SalesMaster[Profit_Margin]&gt;=0.15, "Excellent", IF(SalesMaster[Profit_Margin]&gt;=0.05, "Average", "Needs Improvement"))</f>
        <v>Excellent</v>
      </c>
    </row>
    <row r="170" spans="1:20">
      <c r="A170">
        <v>1083</v>
      </c>
      <c r="B170" s="2">
        <v>44984</v>
      </c>
      <c r="C170" t="s">
        <v>42</v>
      </c>
      <c r="D170" t="s">
        <v>33</v>
      </c>
      <c r="E170">
        <v>1780.31</v>
      </c>
      <c r="F170">
        <v>20</v>
      </c>
      <c r="G170" t="s">
        <v>16</v>
      </c>
      <c r="H170">
        <v>3617.59</v>
      </c>
      <c r="I170">
        <v>4003.5</v>
      </c>
      <c r="J170" t="s">
        <v>22</v>
      </c>
      <c r="K170">
        <v>0.01</v>
      </c>
      <c r="L170" t="s">
        <v>23</v>
      </c>
      <c r="M170" t="s">
        <v>28</v>
      </c>
      <c r="N170" t="s">
        <v>50</v>
      </c>
      <c r="O170" s="6">
        <f>SalesMaster[[#This Row],[Sales_Amount]]*SalesMaster[[#This Row],[Quantity_Sold]]</f>
        <v>35606.199999999997</v>
      </c>
      <c r="P170" s="6">
        <f>SalesMaster[[#This Row],[Quantity_Sold]]*SalesMaster[[#This Row],[Unit_Cost]]</f>
        <v>72351.8</v>
      </c>
      <c r="Q170" s="6">
        <f>SalesMaster[[#This Row],[Total_Sales]]-SalesMaster[[#This Row],[Total_Cost]]</f>
        <v>-36745.600000000006</v>
      </c>
      <c r="R170" s="1">
        <f>IFERROR(SalesMaster[Net Profit]/SalesMaster[Total_Sales], 0)</f>
        <v>-1.0320000449359945</v>
      </c>
      <c r="S170" t="str">
        <f>TEXT(SalesMaster[[#This Row],[Sale_Date]], "mmm")</f>
        <v>Feb</v>
      </c>
      <c r="T170" s="6" t="str">
        <f>IF(SalesMaster[Profit_Margin]&gt;=0.15, "Excellent", IF(SalesMaster[Profit_Margin]&gt;=0.05, "Average", "Needs Improvement"))</f>
        <v>Needs Improvement</v>
      </c>
    </row>
    <row r="171" spans="1:20">
      <c r="A171">
        <v>1087</v>
      </c>
      <c r="B171" s="2">
        <v>44985</v>
      </c>
      <c r="C171" t="s">
        <v>42</v>
      </c>
      <c r="D171" t="s">
        <v>33</v>
      </c>
      <c r="E171">
        <v>7534.3</v>
      </c>
      <c r="F171">
        <v>15</v>
      </c>
      <c r="G171" t="s">
        <v>26</v>
      </c>
      <c r="H171">
        <v>4074.66</v>
      </c>
      <c r="I171">
        <v>4261.1099999999997</v>
      </c>
      <c r="J171" t="s">
        <v>17</v>
      </c>
      <c r="K171">
        <v>0.05</v>
      </c>
      <c r="L171" t="s">
        <v>23</v>
      </c>
      <c r="M171" t="s">
        <v>28</v>
      </c>
      <c r="N171" t="s">
        <v>50</v>
      </c>
      <c r="O171" s="6">
        <f>SalesMaster[[#This Row],[Sales_Amount]]*SalesMaster[[#This Row],[Quantity_Sold]]</f>
        <v>113014.5</v>
      </c>
      <c r="P171" s="6">
        <f>SalesMaster[[#This Row],[Quantity_Sold]]*SalesMaster[[#This Row],[Unit_Cost]]</f>
        <v>61119.899999999994</v>
      </c>
      <c r="Q171" s="6">
        <f>SalesMaster[[#This Row],[Total_Sales]]-SalesMaster[[#This Row],[Total_Cost]]</f>
        <v>51894.600000000006</v>
      </c>
      <c r="R171" s="1">
        <f>IFERROR(SalesMaster[Net Profit]/SalesMaster[Total_Sales], 0)</f>
        <v>0.45918532577678089</v>
      </c>
      <c r="S171" t="str">
        <f>TEXT(SalesMaster[[#This Row],[Sale_Date]], "mmm")</f>
        <v>Feb</v>
      </c>
      <c r="T171" s="6" t="str">
        <f>IF(SalesMaster[Profit_Margin]&gt;=0.15, "Excellent", IF(SalesMaster[Profit_Margin]&gt;=0.05, "Average", "Needs Improvement"))</f>
        <v>Excellent</v>
      </c>
    </row>
    <row r="172" spans="1:20">
      <c r="A172">
        <v>1033</v>
      </c>
      <c r="B172" s="2">
        <v>44985</v>
      </c>
      <c r="C172" t="s">
        <v>30</v>
      </c>
      <c r="D172" t="s">
        <v>33</v>
      </c>
      <c r="E172">
        <v>4155.74</v>
      </c>
      <c r="F172">
        <v>3</v>
      </c>
      <c r="G172" t="s">
        <v>16</v>
      </c>
      <c r="H172">
        <v>2958.75</v>
      </c>
      <c r="I172">
        <v>3177.64</v>
      </c>
      <c r="J172" t="s">
        <v>17</v>
      </c>
      <c r="K172">
        <v>0.17</v>
      </c>
      <c r="L172" t="s">
        <v>18</v>
      </c>
      <c r="M172" t="s">
        <v>19</v>
      </c>
      <c r="N172" t="s">
        <v>34</v>
      </c>
      <c r="O172" s="6">
        <f>SalesMaster[[#This Row],[Sales_Amount]]*SalesMaster[[#This Row],[Quantity_Sold]]</f>
        <v>12467.22</v>
      </c>
      <c r="P172" s="6">
        <f>SalesMaster[[#This Row],[Quantity_Sold]]*SalesMaster[[#This Row],[Unit_Cost]]</f>
        <v>8876.25</v>
      </c>
      <c r="Q172" s="6">
        <f>SalesMaster[[#This Row],[Total_Sales]]-SalesMaster[[#This Row],[Total_Cost]]</f>
        <v>3590.9699999999993</v>
      </c>
      <c r="R172" s="1">
        <f>IFERROR(SalesMaster[Net Profit]/SalesMaster[Total_Sales], 0)</f>
        <v>0.28803293757549797</v>
      </c>
      <c r="S172" t="str">
        <f>TEXT(SalesMaster[[#This Row],[Sale_Date]], "mmm")</f>
        <v>Feb</v>
      </c>
      <c r="T172" s="6" t="str">
        <f>IF(SalesMaster[Profit_Margin]&gt;=0.15, "Excellent", IF(SalesMaster[Profit_Margin]&gt;=0.05, "Average", "Needs Improvement"))</f>
        <v>Excellent</v>
      </c>
    </row>
    <row r="173" spans="1:20">
      <c r="A173">
        <v>1012</v>
      </c>
      <c r="B173" s="2">
        <v>44985</v>
      </c>
      <c r="C173" t="s">
        <v>30</v>
      </c>
      <c r="D173" t="s">
        <v>36</v>
      </c>
      <c r="E173">
        <v>5650.72</v>
      </c>
      <c r="F173">
        <v>33</v>
      </c>
      <c r="G173" t="s">
        <v>41</v>
      </c>
      <c r="H173">
        <v>3831.09</v>
      </c>
      <c r="I173">
        <v>3908.37</v>
      </c>
      <c r="J173" t="s">
        <v>22</v>
      </c>
      <c r="K173">
        <v>0.28999999999999998</v>
      </c>
      <c r="L173" t="s">
        <v>18</v>
      </c>
      <c r="M173" t="s">
        <v>28</v>
      </c>
      <c r="N173" t="s">
        <v>46</v>
      </c>
      <c r="O173" s="6">
        <f>SalesMaster[[#This Row],[Sales_Amount]]*SalesMaster[[#This Row],[Quantity_Sold]]</f>
        <v>186473.76</v>
      </c>
      <c r="P173" s="6">
        <f>SalesMaster[[#This Row],[Quantity_Sold]]*SalesMaster[[#This Row],[Unit_Cost]]</f>
        <v>126425.97</v>
      </c>
      <c r="Q173" s="6">
        <f>SalesMaster[[#This Row],[Total_Sales]]-SalesMaster[[#This Row],[Total_Cost]]</f>
        <v>60047.790000000008</v>
      </c>
      <c r="R173" s="1">
        <f>IFERROR(SalesMaster[Net Profit]/SalesMaster[Total_Sales], 0)</f>
        <v>0.32201737123764762</v>
      </c>
      <c r="S173" t="str">
        <f>TEXT(SalesMaster[[#This Row],[Sale_Date]], "mmm")</f>
        <v>Feb</v>
      </c>
      <c r="T173" s="6" t="str">
        <f>IF(SalesMaster[Profit_Margin]&gt;=0.15, "Excellent", IF(SalesMaster[Profit_Margin]&gt;=0.05, "Average", "Needs Improvement"))</f>
        <v>Excellent</v>
      </c>
    </row>
    <row r="174" spans="1:20">
      <c r="A174">
        <v>1025</v>
      </c>
      <c r="B174" s="2">
        <v>44985</v>
      </c>
      <c r="C174" t="s">
        <v>35</v>
      </c>
      <c r="D174" t="s">
        <v>36</v>
      </c>
      <c r="E174">
        <v>8236.1299999999992</v>
      </c>
      <c r="F174">
        <v>14</v>
      </c>
      <c r="G174" t="s">
        <v>31</v>
      </c>
      <c r="H174">
        <v>859.59</v>
      </c>
      <c r="I174">
        <v>884.51</v>
      </c>
      <c r="J174" t="s">
        <v>22</v>
      </c>
      <c r="K174">
        <v>0.12</v>
      </c>
      <c r="L174" t="s">
        <v>27</v>
      </c>
      <c r="M174" t="s">
        <v>19</v>
      </c>
      <c r="N174" t="s">
        <v>37</v>
      </c>
      <c r="O174" s="6">
        <f>SalesMaster[[#This Row],[Sales_Amount]]*SalesMaster[[#This Row],[Quantity_Sold]]</f>
        <v>115305.81999999999</v>
      </c>
      <c r="P174" s="6">
        <f>SalesMaster[[#This Row],[Quantity_Sold]]*SalesMaster[[#This Row],[Unit_Cost]]</f>
        <v>12034.26</v>
      </c>
      <c r="Q174" s="6">
        <f>SalesMaster[[#This Row],[Total_Sales]]-SalesMaster[[#This Row],[Total_Cost]]</f>
        <v>103271.56</v>
      </c>
      <c r="R174" s="1">
        <f>IFERROR(SalesMaster[Net Profit]/SalesMaster[Total_Sales], 0)</f>
        <v>0.89563180765723716</v>
      </c>
      <c r="S174" t="str">
        <f>TEXT(SalesMaster[[#This Row],[Sale_Date]], "mmm")</f>
        <v>Feb</v>
      </c>
      <c r="T174" s="6" t="str">
        <f>IF(SalesMaster[Profit_Margin]&gt;=0.15, "Excellent", IF(SalesMaster[Profit_Margin]&gt;=0.05, "Average", "Needs Improvement"))</f>
        <v>Excellent</v>
      </c>
    </row>
    <row r="175" spans="1:20">
      <c r="A175">
        <v>1056</v>
      </c>
      <c r="B175" s="2">
        <v>44985</v>
      </c>
      <c r="C175" t="s">
        <v>14</v>
      </c>
      <c r="D175" t="s">
        <v>15</v>
      </c>
      <c r="E175">
        <v>6629.16</v>
      </c>
      <c r="F175">
        <v>37</v>
      </c>
      <c r="G175" t="s">
        <v>31</v>
      </c>
      <c r="H175">
        <v>1555.41</v>
      </c>
      <c r="I175">
        <v>1609.94</v>
      </c>
      <c r="J175" t="s">
        <v>17</v>
      </c>
      <c r="K175">
        <v>0.16</v>
      </c>
      <c r="L175" t="s">
        <v>23</v>
      </c>
      <c r="M175" t="s">
        <v>19</v>
      </c>
      <c r="N175" t="s">
        <v>20</v>
      </c>
      <c r="O175" s="6">
        <f>SalesMaster[[#This Row],[Sales_Amount]]*SalesMaster[[#This Row],[Quantity_Sold]]</f>
        <v>245278.91999999998</v>
      </c>
      <c r="P175" s="6">
        <f>SalesMaster[[#This Row],[Quantity_Sold]]*SalesMaster[[#This Row],[Unit_Cost]]</f>
        <v>57550.170000000006</v>
      </c>
      <c r="Q175" s="6">
        <f>SalesMaster[[#This Row],[Total_Sales]]-SalesMaster[[#This Row],[Total_Cost]]</f>
        <v>187728.74999999997</v>
      </c>
      <c r="R175" s="1">
        <f>IFERROR(SalesMaster[Net Profit]/SalesMaster[Total_Sales], 0)</f>
        <v>0.76536846297268424</v>
      </c>
      <c r="S175" t="str">
        <f>TEXT(SalesMaster[[#This Row],[Sale_Date]], "mmm")</f>
        <v>Feb</v>
      </c>
      <c r="T175" s="6" t="str">
        <f>IF(SalesMaster[Profit_Margin]&gt;=0.15, "Excellent", IF(SalesMaster[Profit_Margin]&gt;=0.05, "Average", "Needs Improvement"))</f>
        <v>Excellent</v>
      </c>
    </row>
    <row r="176" spans="1:20">
      <c r="A176">
        <v>1007</v>
      </c>
      <c r="B176" s="2">
        <v>44985</v>
      </c>
      <c r="C176" t="s">
        <v>21</v>
      </c>
      <c r="D176" t="s">
        <v>36</v>
      </c>
      <c r="E176">
        <v>1833.72</v>
      </c>
      <c r="F176">
        <v>43</v>
      </c>
      <c r="G176" t="s">
        <v>26</v>
      </c>
      <c r="H176">
        <v>3967.25</v>
      </c>
      <c r="I176">
        <v>4272.92</v>
      </c>
      <c r="J176" t="s">
        <v>22</v>
      </c>
      <c r="K176">
        <v>0.27</v>
      </c>
      <c r="L176" t="s">
        <v>23</v>
      </c>
      <c r="M176" t="s">
        <v>19</v>
      </c>
      <c r="N176" t="s">
        <v>38</v>
      </c>
      <c r="O176" s="6">
        <f>SalesMaster[[#This Row],[Sales_Amount]]*SalesMaster[[#This Row],[Quantity_Sold]]</f>
        <v>78849.960000000006</v>
      </c>
      <c r="P176" s="6">
        <f>SalesMaster[[#This Row],[Quantity_Sold]]*SalesMaster[[#This Row],[Unit_Cost]]</f>
        <v>170591.75</v>
      </c>
      <c r="Q176" s="6">
        <f>SalesMaster[[#This Row],[Total_Sales]]-SalesMaster[[#This Row],[Total_Cost]]</f>
        <v>-91741.79</v>
      </c>
      <c r="R176" s="1">
        <f>IFERROR(SalesMaster[Net Profit]/SalesMaster[Total_Sales], 0)</f>
        <v>-1.1634982440067183</v>
      </c>
      <c r="S176" t="str">
        <f>TEXT(SalesMaster[[#This Row],[Sale_Date]], "mmm")</f>
        <v>Feb</v>
      </c>
      <c r="T176" s="6" t="str">
        <f>IF(SalesMaster[Profit_Margin]&gt;=0.15, "Excellent", IF(SalesMaster[Profit_Margin]&gt;=0.05, "Average", "Needs Improvement"))</f>
        <v>Needs Improvement</v>
      </c>
    </row>
    <row r="177" spans="1:20">
      <c r="A177">
        <v>1029</v>
      </c>
      <c r="B177" s="2">
        <v>44986</v>
      </c>
      <c r="C177" t="s">
        <v>30</v>
      </c>
      <c r="D177" t="s">
        <v>36</v>
      </c>
      <c r="E177">
        <v>6773.89</v>
      </c>
      <c r="F177">
        <v>28</v>
      </c>
      <c r="G177" t="s">
        <v>16</v>
      </c>
      <c r="H177">
        <v>2873.53</v>
      </c>
      <c r="I177">
        <v>3108.3</v>
      </c>
      <c r="J177" t="s">
        <v>22</v>
      </c>
      <c r="K177">
        <v>0.15</v>
      </c>
      <c r="L177" t="s">
        <v>23</v>
      </c>
      <c r="M177" t="s">
        <v>28</v>
      </c>
      <c r="N177" t="s">
        <v>46</v>
      </c>
      <c r="O177" s="6">
        <f>SalesMaster[[#This Row],[Sales_Amount]]*SalesMaster[[#This Row],[Quantity_Sold]]</f>
        <v>189668.92</v>
      </c>
      <c r="P177" s="6">
        <f>SalesMaster[[#This Row],[Quantity_Sold]]*SalesMaster[[#This Row],[Unit_Cost]]</f>
        <v>80458.840000000011</v>
      </c>
      <c r="Q177" s="6">
        <f>SalesMaster[[#This Row],[Total_Sales]]-SalesMaster[[#This Row],[Total_Cost]]</f>
        <v>109210.08</v>
      </c>
      <c r="R177" s="1">
        <f>IFERROR(SalesMaster[Net Profit]/SalesMaster[Total_Sales], 0)</f>
        <v>0.5757932295918593</v>
      </c>
      <c r="S177" t="str">
        <f>TEXT(SalesMaster[[#This Row],[Sale_Date]], "mmm")</f>
        <v>Mar</v>
      </c>
      <c r="T177" s="6" t="str">
        <f>IF(SalesMaster[Profit_Margin]&gt;=0.15, "Excellent", IF(SalesMaster[Profit_Margin]&gt;=0.05, "Average", "Needs Improvement"))</f>
        <v>Excellent</v>
      </c>
    </row>
    <row r="178" spans="1:20">
      <c r="A178">
        <v>1041</v>
      </c>
      <c r="B178" s="2">
        <v>44986</v>
      </c>
      <c r="C178" t="s">
        <v>21</v>
      </c>
      <c r="D178" t="s">
        <v>36</v>
      </c>
      <c r="E178">
        <v>4170.8</v>
      </c>
      <c r="F178">
        <v>44</v>
      </c>
      <c r="G178" t="s">
        <v>31</v>
      </c>
      <c r="H178">
        <v>3288.39</v>
      </c>
      <c r="I178">
        <v>3391.46</v>
      </c>
      <c r="J178" t="s">
        <v>22</v>
      </c>
      <c r="K178">
        <v>0.05</v>
      </c>
      <c r="L178" t="s">
        <v>23</v>
      </c>
      <c r="M178" t="s">
        <v>28</v>
      </c>
      <c r="N178" t="s">
        <v>38</v>
      </c>
      <c r="O178" s="6">
        <f>SalesMaster[[#This Row],[Sales_Amount]]*SalesMaster[[#This Row],[Quantity_Sold]]</f>
        <v>183515.2</v>
      </c>
      <c r="P178" s="6">
        <f>SalesMaster[[#This Row],[Quantity_Sold]]*SalesMaster[[#This Row],[Unit_Cost]]</f>
        <v>144689.16</v>
      </c>
      <c r="Q178" s="6">
        <f>SalesMaster[[#This Row],[Total_Sales]]-SalesMaster[[#This Row],[Total_Cost]]</f>
        <v>38826.040000000008</v>
      </c>
      <c r="R178" s="1">
        <f>IFERROR(SalesMaster[Net Profit]/SalesMaster[Total_Sales], 0)</f>
        <v>0.21156852402416806</v>
      </c>
      <c r="S178" t="str">
        <f>TEXT(SalesMaster[[#This Row],[Sale_Date]], "mmm")</f>
        <v>Mar</v>
      </c>
      <c r="T178" s="6" t="str">
        <f>IF(SalesMaster[Profit_Margin]&gt;=0.15, "Excellent", IF(SalesMaster[Profit_Margin]&gt;=0.05, "Average", "Needs Improvement"))</f>
        <v>Excellent</v>
      </c>
    </row>
    <row r="179" spans="1:20">
      <c r="A179">
        <v>1034</v>
      </c>
      <c r="B179" s="2">
        <v>44986</v>
      </c>
      <c r="C179" t="s">
        <v>21</v>
      </c>
      <c r="D179" t="s">
        <v>33</v>
      </c>
      <c r="E179">
        <v>2842.42</v>
      </c>
      <c r="F179">
        <v>45</v>
      </c>
      <c r="G179" t="s">
        <v>41</v>
      </c>
      <c r="H179">
        <v>2013.12</v>
      </c>
      <c r="I179">
        <v>2321.87</v>
      </c>
      <c r="J179" t="s">
        <v>22</v>
      </c>
      <c r="K179">
        <v>0.18</v>
      </c>
      <c r="L179" t="s">
        <v>27</v>
      </c>
      <c r="M179" t="s">
        <v>28</v>
      </c>
      <c r="N179" t="s">
        <v>48</v>
      </c>
      <c r="O179" s="6">
        <f>SalesMaster[[#This Row],[Sales_Amount]]*SalesMaster[[#This Row],[Quantity_Sold]]</f>
        <v>127908.90000000001</v>
      </c>
      <c r="P179" s="6">
        <f>SalesMaster[[#This Row],[Quantity_Sold]]*SalesMaster[[#This Row],[Unit_Cost]]</f>
        <v>90590.399999999994</v>
      </c>
      <c r="Q179" s="6">
        <f>SalesMaster[[#This Row],[Total_Sales]]-SalesMaster[[#This Row],[Total_Cost]]</f>
        <v>37318.500000000015</v>
      </c>
      <c r="R179" s="1">
        <f>IFERROR(SalesMaster[Net Profit]/SalesMaster[Total_Sales], 0)</f>
        <v>0.29175843119595285</v>
      </c>
      <c r="S179" t="str">
        <f>TEXT(SalesMaster[[#This Row],[Sale_Date]], "mmm")</f>
        <v>Mar</v>
      </c>
      <c r="T179" s="6" t="str">
        <f>IF(SalesMaster[Profit_Margin]&gt;=0.15, "Excellent", IF(SalesMaster[Profit_Margin]&gt;=0.05, "Average", "Needs Improvement"))</f>
        <v>Excellent</v>
      </c>
    </row>
    <row r="180" spans="1:20">
      <c r="A180">
        <v>1058</v>
      </c>
      <c r="B180" s="2">
        <v>44987</v>
      </c>
      <c r="C180" t="s">
        <v>14</v>
      </c>
      <c r="D180" t="s">
        <v>33</v>
      </c>
      <c r="E180">
        <v>9333.83</v>
      </c>
      <c r="F180">
        <v>39</v>
      </c>
      <c r="G180" t="s">
        <v>41</v>
      </c>
      <c r="H180">
        <v>3542.8</v>
      </c>
      <c r="I180">
        <v>3603.02</v>
      </c>
      <c r="J180" t="s">
        <v>17</v>
      </c>
      <c r="K180">
        <v>0.26</v>
      </c>
      <c r="L180" t="s">
        <v>18</v>
      </c>
      <c r="M180" t="s">
        <v>19</v>
      </c>
      <c r="N180" t="s">
        <v>45</v>
      </c>
      <c r="O180" s="6">
        <f>SalesMaster[[#This Row],[Sales_Amount]]*SalesMaster[[#This Row],[Quantity_Sold]]</f>
        <v>364019.37</v>
      </c>
      <c r="P180" s="6">
        <f>SalesMaster[[#This Row],[Quantity_Sold]]*SalesMaster[[#This Row],[Unit_Cost]]</f>
        <v>138169.20000000001</v>
      </c>
      <c r="Q180" s="6">
        <f>SalesMaster[[#This Row],[Total_Sales]]-SalesMaster[[#This Row],[Total_Cost]]</f>
        <v>225850.16999999998</v>
      </c>
      <c r="R180" s="1">
        <f>IFERROR(SalesMaster[Net Profit]/SalesMaster[Total_Sales], 0)</f>
        <v>0.62043448402210022</v>
      </c>
      <c r="S180" t="str">
        <f>TEXT(SalesMaster[[#This Row],[Sale_Date]], "mmm")</f>
        <v>Mar</v>
      </c>
      <c r="T180" s="6" t="str">
        <f>IF(SalesMaster[Profit_Margin]&gt;=0.15, "Excellent", IF(SalesMaster[Profit_Margin]&gt;=0.05, "Average", "Needs Improvement"))</f>
        <v>Excellent</v>
      </c>
    </row>
    <row r="181" spans="1:20">
      <c r="A181">
        <v>1023</v>
      </c>
      <c r="B181" s="2">
        <v>44987</v>
      </c>
      <c r="C181" t="s">
        <v>30</v>
      </c>
      <c r="D181" t="s">
        <v>33</v>
      </c>
      <c r="E181">
        <v>1260.32</v>
      </c>
      <c r="F181">
        <v>39</v>
      </c>
      <c r="G181" t="s">
        <v>41</v>
      </c>
      <c r="H181">
        <v>4450.6099999999997</v>
      </c>
      <c r="I181">
        <v>4663.3399999999901</v>
      </c>
      <c r="J181" t="s">
        <v>22</v>
      </c>
      <c r="K181">
        <v>0.24</v>
      </c>
      <c r="L181" t="s">
        <v>18</v>
      </c>
      <c r="M181" t="s">
        <v>28</v>
      </c>
      <c r="N181" t="s">
        <v>34</v>
      </c>
      <c r="O181" s="6">
        <f>SalesMaster[[#This Row],[Sales_Amount]]*SalesMaster[[#This Row],[Quantity_Sold]]</f>
        <v>49152.479999999996</v>
      </c>
      <c r="P181" s="6">
        <f>SalesMaster[[#This Row],[Quantity_Sold]]*SalesMaster[[#This Row],[Unit_Cost]]</f>
        <v>173573.78999999998</v>
      </c>
      <c r="Q181" s="6">
        <f>SalesMaster[[#This Row],[Total_Sales]]-SalesMaster[[#This Row],[Total_Cost]]</f>
        <v>-124421.30999999998</v>
      </c>
      <c r="R181" s="1">
        <f>IFERROR(SalesMaster[Net Profit]/SalesMaster[Total_Sales], 0)</f>
        <v>-2.5313333121746857</v>
      </c>
      <c r="S181" t="str">
        <f>TEXT(SalesMaster[[#This Row],[Sale_Date]], "mmm")</f>
        <v>Mar</v>
      </c>
      <c r="T181" s="6" t="str">
        <f>IF(SalesMaster[Profit_Margin]&gt;=0.15, "Excellent", IF(SalesMaster[Profit_Margin]&gt;=0.05, "Average", "Needs Improvement"))</f>
        <v>Needs Improvement</v>
      </c>
    </row>
    <row r="182" spans="1:20">
      <c r="A182">
        <v>1058</v>
      </c>
      <c r="B182" s="2">
        <v>44987</v>
      </c>
      <c r="C182" t="s">
        <v>14</v>
      </c>
      <c r="D182" t="s">
        <v>36</v>
      </c>
      <c r="E182">
        <v>5463.43</v>
      </c>
      <c r="F182">
        <v>49</v>
      </c>
      <c r="G182" t="s">
        <v>26</v>
      </c>
      <c r="H182">
        <v>1307.22</v>
      </c>
      <c r="I182">
        <v>1528.4</v>
      </c>
      <c r="J182" t="s">
        <v>17</v>
      </c>
      <c r="K182">
        <v>0.24</v>
      </c>
      <c r="L182" t="s">
        <v>18</v>
      </c>
      <c r="M182" t="s">
        <v>28</v>
      </c>
      <c r="N182" t="s">
        <v>39</v>
      </c>
      <c r="O182" s="6">
        <f>SalesMaster[[#This Row],[Sales_Amount]]*SalesMaster[[#This Row],[Quantity_Sold]]</f>
        <v>267708.07</v>
      </c>
      <c r="P182" s="6">
        <f>SalesMaster[[#This Row],[Quantity_Sold]]*SalesMaster[[#This Row],[Unit_Cost]]</f>
        <v>64053.78</v>
      </c>
      <c r="Q182" s="6">
        <f>SalesMaster[[#This Row],[Total_Sales]]-SalesMaster[[#This Row],[Total_Cost]]</f>
        <v>203654.29</v>
      </c>
      <c r="R182" s="1">
        <f>IFERROR(SalesMaster[Net Profit]/SalesMaster[Total_Sales], 0)</f>
        <v>0.76073272651063528</v>
      </c>
      <c r="S182" t="str">
        <f>TEXT(SalesMaster[[#This Row],[Sale_Date]], "mmm")</f>
        <v>Mar</v>
      </c>
      <c r="T182" s="6" t="str">
        <f>IF(SalesMaster[Profit_Margin]&gt;=0.15, "Excellent", IF(SalesMaster[Profit_Margin]&gt;=0.05, "Average", "Needs Improvement"))</f>
        <v>Excellent</v>
      </c>
    </row>
    <row r="183" spans="1:20">
      <c r="A183">
        <v>1007</v>
      </c>
      <c r="B183" s="2">
        <v>44988</v>
      </c>
      <c r="C183" t="s">
        <v>14</v>
      </c>
      <c r="D183" t="s">
        <v>33</v>
      </c>
      <c r="E183">
        <v>4694.54</v>
      </c>
      <c r="F183">
        <v>1</v>
      </c>
      <c r="G183" t="s">
        <v>41</v>
      </c>
      <c r="H183">
        <v>2543.2600000000002</v>
      </c>
      <c r="I183">
        <v>2637.91</v>
      </c>
      <c r="J183" t="s">
        <v>17</v>
      </c>
      <c r="K183">
        <v>0.2</v>
      </c>
      <c r="L183" t="s">
        <v>23</v>
      </c>
      <c r="M183" t="s">
        <v>19</v>
      </c>
      <c r="N183" t="s">
        <v>45</v>
      </c>
      <c r="O183" s="6">
        <f>SalesMaster[[#This Row],[Sales_Amount]]*SalesMaster[[#This Row],[Quantity_Sold]]</f>
        <v>4694.54</v>
      </c>
      <c r="P183" s="6">
        <f>SalesMaster[[#This Row],[Quantity_Sold]]*SalesMaster[[#This Row],[Unit_Cost]]</f>
        <v>2543.2600000000002</v>
      </c>
      <c r="Q183" s="6">
        <f>SalesMaster[[#This Row],[Total_Sales]]-SalesMaster[[#This Row],[Total_Cost]]</f>
        <v>2151.2799999999997</v>
      </c>
      <c r="R183" s="1">
        <f>IFERROR(SalesMaster[Net Profit]/SalesMaster[Total_Sales], 0)</f>
        <v>0.45825150067951276</v>
      </c>
      <c r="S183" t="str">
        <f>TEXT(SalesMaster[[#This Row],[Sale_Date]], "mmm")</f>
        <v>Mar</v>
      </c>
      <c r="T183" s="6" t="str">
        <f>IF(SalesMaster[Profit_Margin]&gt;=0.15, "Excellent", IF(SalesMaster[Profit_Margin]&gt;=0.05, "Average", "Needs Improvement"))</f>
        <v>Excellent</v>
      </c>
    </row>
    <row r="184" spans="1:20">
      <c r="A184">
        <v>1035</v>
      </c>
      <c r="B184" s="2">
        <v>44988</v>
      </c>
      <c r="C184" t="s">
        <v>35</v>
      </c>
      <c r="D184" t="s">
        <v>33</v>
      </c>
      <c r="E184">
        <v>2494.7399999999998</v>
      </c>
      <c r="F184">
        <v>47</v>
      </c>
      <c r="G184" t="s">
        <v>31</v>
      </c>
      <c r="H184">
        <v>2936.48</v>
      </c>
      <c r="I184">
        <v>3096.64</v>
      </c>
      <c r="J184" t="s">
        <v>22</v>
      </c>
      <c r="K184">
        <v>0.06</v>
      </c>
      <c r="L184" t="s">
        <v>27</v>
      </c>
      <c r="M184" t="s">
        <v>19</v>
      </c>
      <c r="N184" t="s">
        <v>52</v>
      </c>
      <c r="O184" s="6">
        <f>SalesMaster[[#This Row],[Sales_Amount]]*SalesMaster[[#This Row],[Quantity_Sold]]</f>
        <v>117252.77999999998</v>
      </c>
      <c r="P184" s="6">
        <f>SalesMaster[[#This Row],[Quantity_Sold]]*SalesMaster[[#This Row],[Unit_Cost]]</f>
        <v>138014.56</v>
      </c>
      <c r="Q184" s="6">
        <f>SalesMaster[[#This Row],[Total_Sales]]-SalesMaster[[#This Row],[Total_Cost]]</f>
        <v>-20761.780000000013</v>
      </c>
      <c r="R184" s="1">
        <f>IFERROR(SalesMaster[Net Profit]/SalesMaster[Total_Sales], 0)</f>
        <v>-0.17706855223390025</v>
      </c>
      <c r="S184" t="str">
        <f>TEXT(SalesMaster[[#This Row],[Sale_Date]], "mmm")</f>
        <v>Mar</v>
      </c>
      <c r="T184" s="6" t="str">
        <f>IF(SalesMaster[Profit_Margin]&gt;=0.15, "Excellent", IF(SalesMaster[Profit_Margin]&gt;=0.05, "Average", "Needs Improvement"))</f>
        <v>Needs Improvement</v>
      </c>
    </row>
    <row r="185" spans="1:20">
      <c r="A185">
        <v>1089</v>
      </c>
      <c r="B185" s="2">
        <v>44988</v>
      </c>
      <c r="C185" t="s">
        <v>21</v>
      </c>
      <c r="D185" t="s">
        <v>15</v>
      </c>
      <c r="E185">
        <v>2122.73</v>
      </c>
      <c r="F185">
        <v>4</v>
      </c>
      <c r="G185" t="s">
        <v>26</v>
      </c>
      <c r="H185">
        <v>4117.67</v>
      </c>
      <c r="I185">
        <v>4280.0600000000004</v>
      </c>
      <c r="J185" t="s">
        <v>17</v>
      </c>
      <c r="K185">
        <v>0.18</v>
      </c>
      <c r="L185" t="s">
        <v>27</v>
      </c>
      <c r="M185" t="s">
        <v>19</v>
      </c>
      <c r="N185" t="s">
        <v>24</v>
      </c>
      <c r="O185" s="6">
        <f>SalesMaster[[#This Row],[Sales_Amount]]*SalesMaster[[#This Row],[Quantity_Sold]]</f>
        <v>8490.92</v>
      </c>
      <c r="P185" s="6">
        <f>SalesMaster[[#This Row],[Quantity_Sold]]*SalesMaster[[#This Row],[Unit_Cost]]</f>
        <v>16470.68</v>
      </c>
      <c r="Q185" s="6">
        <f>SalesMaster[[#This Row],[Total_Sales]]-SalesMaster[[#This Row],[Total_Cost]]</f>
        <v>-7979.76</v>
      </c>
      <c r="R185" s="1">
        <f>IFERROR(SalesMaster[Net Profit]/SalesMaster[Total_Sales], 0)</f>
        <v>-0.93979922081470557</v>
      </c>
      <c r="S185" t="str">
        <f>TEXT(SalesMaster[[#This Row],[Sale_Date]], "mmm")</f>
        <v>Mar</v>
      </c>
      <c r="T185" s="6" t="str">
        <f>IF(SalesMaster[Profit_Margin]&gt;=0.15, "Excellent", IF(SalesMaster[Profit_Margin]&gt;=0.05, "Average", "Needs Improvement"))</f>
        <v>Needs Improvement</v>
      </c>
    </row>
    <row r="186" spans="1:20">
      <c r="A186">
        <v>1095</v>
      </c>
      <c r="B186" s="2">
        <v>44988</v>
      </c>
      <c r="C186" t="s">
        <v>14</v>
      </c>
      <c r="D186" t="s">
        <v>36</v>
      </c>
      <c r="E186">
        <v>6518.35</v>
      </c>
      <c r="F186">
        <v>16</v>
      </c>
      <c r="G186" t="s">
        <v>31</v>
      </c>
      <c r="H186">
        <v>3591.05</v>
      </c>
      <c r="I186">
        <v>3625.35</v>
      </c>
      <c r="J186" t="s">
        <v>17</v>
      </c>
      <c r="K186">
        <v>0.05</v>
      </c>
      <c r="L186" t="s">
        <v>23</v>
      </c>
      <c r="M186" t="s">
        <v>28</v>
      </c>
      <c r="N186" t="s">
        <v>39</v>
      </c>
      <c r="O186" s="6">
        <f>SalesMaster[[#This Row],[Sales_Amount]]*SalesMaster[[#This Row],[Quantity_Sold]]</f>
        <v>104293.6</v>
      </c>
      <c r="P186" s="6">
        <f>SalesMaster[[#This Row],[Quantity_Sold]]*SalesMaster[[#This Row],[Unit_Cost]]</f>
        <v>57456.800000000003</v>
      </c>
      <c r="Q186" s="6">
        <f>SalesMaster[[#This Row],[Total_Sales]]-SalesMaster[[#This Row],[Total_Cost]]</f>
        <v>46836.800000000003</v>
      </c>
      <c r="R186" s="1">
        <f>IFERROR(SalesMaster[Net Profit]/SalesMaster[Total_Sales], 0)</f>
        <v>0.4490860417130102</v>
      </c>
      <c r="S186" t="str">
        <f>TEXT(SalesMaster[[#This Row],[Sale_Date]], "mmm")</f>
        <v>Mar</v>
      </c>
      <c r="T186" s="6" t="str">
        <f>IF(SalesMaster[Profit_Margin]&gt;=0.15, "Excellent", IF(SalesMaster[Profit_Margin]&gt;=0.05, "Average", "Needs Improvement"))</f>
        <v>Excellent</v>
      </c>
    </row>
    <row r="187" spans="1:20">
      <c r="A187">
        <v>1099</v>
      </c>
      <c r="B187" s="2">
        <v>44989</v>
      </c>
      <c r="C187" t="s">
        <v>30</v>
      </c>
      <c r="D187" t="s">
        <v>36</v>
      </c>
      <c r="E187">
        <v>7952.11</v>
      </c>
      <c r="F187">
        <v>10</v>
      </c>
      <c r="G187" t="s">
        <v>26</v>
      </c>
      <c r="H187">
        <v>1531.2</v>
      </c>
      <c r="I187">
        <v>1955.56</v>
      </c>
      <c r="J187" t="s">
        <v>22</v>
      </c>
      <c r="K187">
        <v>0</v>
      </c>
      <c r="L187" t="s">
        <v>23</v>
      </c>
      <c r="M187" t="s">
        <v>19</v>
      </c>
      <c r="N187" t="s">
        <v>46</v>
      </c>
      <c r="O187" s="6">
        <f>SalesMaster[[#This Row],[Sales_Amount]]*SalesMaster[[#This Row],[Quantity_Sold]]</f>
        <v>79521.099999999991</v>
      </c>
      <c r="P187" s="6">
        <f>SalesMaster[[#This Row],[Quantity_Sold]]*SalesMaster[[#This Row],[Unit_Cost]]</f>
        <v>15312</v>
      </c>
      <c r="Q187" s="6">
        <f>SalesMaster[[#This Row],[Total_Sales]]-SalesMaster[[#This Row],[Total_Cost]]</f>
        <v>64209.099999999991</v>
      </c>
      <c r="R187" s="1">
        <f>IFERROR(SalesMaster[Net Profit]/SalesMaster[Total_Sales], 0)</f>
        <v>0.80744733158872295</v>
      </c>
      <c r="S187" t="str">
        <f>TEXT(SalesMaster[[#This Row],[Sale_Date]], "mmm")</f>
        <v>Mar</v>
      </c>
      <c r="T187" s="6" t="str">
        <f>IF(SalesMaster[Profit_Margin]&gt;=0.15, "Excellent", IF(SalesMaster[Profit_Margin]&gt;=0.05, "Average", "Needs Improvement"))</f>
        <v>Excellent</v>
      </c>
    </row>
    <row r="188" spans="1:20">
      <c r="A188">
        <v>1070</v>
      </c>
      <c r="B188" s="2">
        <v>44989</v>
      </c>
      <c r="C188" t="s">
        <v>35</v>
      </c>
      <c r="D188" t="s">
        <v>25</v>
      </c>
      <c r="E188">
        <v>8771.24</v>
      </c>
      <c r="F188">
        <v>15</v>
      </c>
      <c r="G188" t="s">
        <v>31</v>
      </c>
      <c r="H188">
        <v>3653.66</v>
      </c>
      <c r="I188">
        <v>3896.19</v>
      </c>
      <c r="J188" t="s">
        <v>22</v>
      </c>
      <c r="K188">
        <v>0.03</v>
      </c>
      <c r="L188" t="s">
        <v>23</v>
      </c>
      <c r="M188" t="s">
        <v>28</v>
      </c>
      <c r="N188" t="s">
        <v>40</v>
      </c>
      <c r="O188" s="6">
        <f>SalesMaster[[#This Row],[Sales_Amount]]*SalesMaster[[#This Row],[Quantity_Sold]]</f>
        <v>131568.6</v>
      </c>
      <c r="P188" s="6">
        <f>SalesMaster[[#This Row],[Quantity_Sold]]*SalesMaster[[#This Row],[Unit_Cost]]</f>
        <v>54804.899999999994</v>
      </c>
      <c r="Q188" s="6">
        <f>SalesMaster[[#This Row],[Total_Sales]]-SalesMaster[[#This Row],[Total_Cost]]</f>
        <v>76763.700000000012</v>
      </c>
      <c r="R188" s="1">
        <f>IFERROR(SalesMaster[Net Profit]/SalesMaster[Total_Sales], 0)</f>
        <v>0.58345000250819734</v>
      </c>
      <c r="S188" t="str">
        <f>TEXT(SalesMaster[[#This Row],[Sale_Date]], "mmm")</f>
        <v>Mar</v>
      </c>
      <c r="T188" s="6" t="str">
        <f>IF(SalesMaster[Profit_Margin]&gt;=0.15, "Excellent", IF(SalesMaster[Profit_Margin]&gt;=0.05, "Average", "Needs Improvement"))</f>
        <v>Excellent</v>
      </c>
    </row>
    <row r="189" spans="1:20">
      <c r="A189">
        <v>1033</v>
      </c>
      <c r="B189" s="2">
        <v>44989</v>
      </c>
      <c r="C189" t="s">
        <v>35</v>
      </c>
      <c r="D189" t="s">
        <v>33</v>
      </c>
      <c r="E189">
        <v>8499.41</v>
      </c>
      <c r="F189">
        <v>14</v>
      </c>
      <c r="G189" t="s">
        <v>16</v>
      </c>
      <c r="H189">
        <v>362.38</v>
      </c>
      <c r="I189">
        <v>753.81</v>
      </c>
      <c r="J189" t="s">
        <v>17</v>
      </c>
      <c r="K189">
        <v>0.19</v>
      </c>
      <c r="L189" t="s">
        <v>18</v>
      </c>
      <c r="M189" t="s">
        <v>28</v>
      </c>
      <c r="N189" t="s">
        <v>52</v>
      </c>
      <c r="O189" s="6">
        <f>SalesMaster[[#This Row],[Sales_Amount]]*SalesMaster[[#This Row],[Quantity_Sold]]</f>
        <v>118991.73999999999</v>
      </c>
      <c r="P189" s="6">
        <f>SalesMaster[[#This Row],[Quantity_Sold]]*SalesMaster[[#This Row],[Unit_Cost]]</f>
        <v>5073.32</v>
      </c>
      <c r="Q189" s="6">
        <f>SalesMaster[[#This Row],[Total_Sales]]-SalesMaster[[#This Row],[Total_Cost]]</f>
        <v>113918.41999999998</v>
      </c>
      <c r="R189" s="1">
        <f>IFERROR(SalesMaster[Net Profit]/SalesMaster[Total_Sales], 0)</f>
        <v>0.95736409939042821</v>
      </c>
      <c r="S189" t="str">
        <f>TEXT(SalesMaster[[#This Row],[Sale_Date]], "mmm")</f>
        <v>Mar</v>
      </c>
      <c r="T189" s="6" t="str">
        <f>IF(SalesMaster[Profit_Margin]&gt;=0.15, "Excellent", IF(SalesMaster[Profit_Margin]&gt;=0.05, "Average", "Needs Improvement"))</f>
        <v>Excellent</v>
      </c>
    </row>
    <row r="190" spans="1:20">
      <c r="A190">
        <v>1094</v>
      </c>
      <c r="B190" s="2">
        <v>44989</v>
      </c>
      <c r="C190" t="s">
        <v>35</v>
      </c>
      <c r="D190" t="s">
        <v>15</v>
      </c>
      <c r="E190">
        <v>3992.63</v>
      </c>
      <c r="F190">
        <v>49</v>
      </c>
      <c r="G190" t="s">
        <v>41</v>
      </c>
      <c r="H190">
        <v>615.47</v>
      </c>
      <c r="I190">
        <v>715.84</v>
      </c>
      <c r="J190" t="s">
        <v>17</v>
      </c>
      <c r="K190">
        <v>0.21</v>
      </c>
      <c r="L190" t="s">
        <v>23</v>
      </c>
      <c r="M190" t="s">
        <v>28</v>
      </c>
      <c r="N190" t="s">
        <v>44</v>
      </c>
      <c r="O190" s="6">
        <f>SalesMaster[[#This Row],[Sales_Amount]]*SalesMaster[[#This Row],[Quantity_Sold]]</f>
        <v>195638.87</v>
      </c>
      <c r="P190" s="6">
        <f>SalesMaster[[#This Row],[Quantity_Sold]]*SalesMaster[[#This Row],[Unit_Cost]]</f>
        <v>30158.030000000002</v>
      </c>
      <c r="Q190" s="6">
        <f>SalesMaster[[#This Row],[Total_Sales]]-SalesMaster[[#This Row],[Total_Cost]]</f>
        <v>165480.84</v>
      </c>
      <c r="R190" s="1">
        <f>IFERROR(SalesMaster[Net Profit]/SalesMaster[Total_Sales], 0)</f>
        <v>0.8458484758166922</v>
      </c>
      <c r="S190" t="str">
        <f>TEXT(SalesMaster[[#This Row],[Sale_Date]], "mmm")</f>
        <v>Mar</v>
      </c>
      <c r="T190" s="6" t="str">
        <f>IF(SalesMaster[Profit_Margin]&gt;=0.15, "Excellent", IF(SalesMaster[Profit_Margin]&gt;=0.05, "Average", "Needs Improvement"))</f>
        <v>Excellent</v>
      </c>
    </row>
    <row r="191" spans="1:20">
      <c r="A191">
        <v>1009</v>
      </c>
      <c r="B191" s="2">
        <v>44989</v>
      </c>
      <c r="C191" t="s">
        <v>30</v>
      </c>
      <c r="D191" t="s">
        <v>36</v>
      </c>
      <c r="E191">
        <v>198.79</v>
      </c>
      <c r="F191">
        <v>1</v>
      </c>
      <c r="G191" t="s">
        <v>16</v>
      </c>
      <c r="H191">
        <v>3223.07</v>
      </c>
      <c r="I191">
        <v>3590.83</v>
      </c>
      <c r="J191" t="s">
        <v>22</v>
      </c>
      <c r="K191">
        <v>0.19</v>
      </c>
      <c r="L191" t="s">
        <v>27</v>
      </c>
      <c r="M191" t="s">
        <v>28</v>
      </c>
      <c r="N191" t="s">
        <v>46</v>
      </c>
      <c r="O191" s="6">
        <f>SalesMaster[[#This Row],[Sales_Amount]]*SalesMaster[[#This Row],[Quantity_Sold]]</f>
        <v>198.79</v>
      </c>
      <c r="P191" s="6">
        <f>SalesMaster[[#This Row],[Quantity_Sold]]*SalesMaster[[#This Row],[Unit_Cost]]</f>
        <v>3223.07</v>
      </c>
      <c r="Q191" s="6">
        <f>SalesMaster[[#This Row],[Total_Sales]]-SalesMaster[[#This Row],[Total_Cost]]</f>
        <v>-3024.28</v>
      </c>
      <c r="R191" s="1">
        <f>IFERROR(SalesMaster[Net Profit]/SalesMaster[Total_Sales], 0)</f>
        <v>-15.213441319985916</v>
      </c>
      <c r="S191" t="str">
        <f>TEXT(SalesMaster[[#This Row],[Sale_Date]], "mmm")</f>
        <v>Mar</v>
      </c>
      <c r="T191" s="6" t="str">
        <f>IF(SalesMaster[Profit_Margin]&gt;=0.15, "Excellent", IF(SalesMaster[Profit_Margin]&gt;=0.05, "Average", "Needs Improvement"))</f>
        <v>Needs Improvement</v>
      </c>
    </row>
    <row r="192" spans="1:20">
      <c r="A192">
        <v>1058</v>
      </c>
      <c r="B192" s="2">
        <v>44990</v>
      </c>
      <c r="C192" t="s">
        <v>14</v>
      </c>
      <c r="D192" t="s">
        <v>15</v>
      </c>
      <c r="E192">
        <v>252.41</v>
      </c>
      <c r="F192">
        <v>48</v>
      </c>
      <c r="G192" t="s">
        <v>26</v>
      </c>
      <c r="H192">
        <v>2596.7199999999998</v>
      </c>
      <c r="I192">
        <v>2715.0499999999902</v>
      </c>
      <c r="J192" t="s">
        <v>17</v>
      </c>
      <c r="K192">
        <v>0.04</v>
      </c>
      <c r="L192" t="s">
        <v>18</v>
      </c>
      <c r="M192" t="s">
        <v>19</v>
      </c>
      <c r="N192" t="s">
        <v>20</v>
      </c>
      <c r="O192" s="6">
        <f>SalesMaster[[#This Row],[Sales_Amount]]*SalesMaster[[#This Row],[Quantity_Sold]]</f>
        <v>12115.68</v>
      </c>
      <c r="P192" s="6">
        <f>SalesMaster[[#This Row],[Quantity_Sold]]*SalesMaster[[#This Row],[Unit_Cost]]</f>
        <v>124642.56</v>
      </c>
      <c r="Q192" s="6">
        <f>SalesMaster[[#This Row],[Total_Sales]]-SalesMaster[[#This Row],[Total_Cost]]</f>
        <v>-112526.88</v>
      </c>
      <c r="R192" s="1">
        <f>IFERROR(SalesMaster[Net Profit]/SalesMaster[Total_Sales], 0)</f>
        <v>-9.2877065092508229</v>
      </c>
      <c r="S192" t="str">
        <f>TEXT(SalesMaster[[#This Row],[Sale_Date]], "mmm")</f>
        <v>Mar</v>
      </c>
      <c r="T192" s="6" t="str">
        <f>IF(SalesMaster[Profit_Margin]&gt;=0.15, "Excellent", IF(SalesMaster[Profit_Margin]&gt;=0.05, "Average", "Needs Improvement"))</f>
        <v>Needs Improvement</v>
      </c>
    </row>
    <row r="193" spans="1:20">
      <c r="A193">
        <v>1050</v>
      </c>
      <c r="B193" s="2">
        <v>44990</v>
      </c>
      <c r="C193" t="s">
        <v>35</v>
      </c>
      <c r="D193" t="s">
        <v>15</v>
      </c>
      <c r="E193">
        <v>9755.9</v>
      </c>
      <c r="F193">
        <v>20</v>
      </c>
      <c r="G193" t="s">
        <v>31</v>
      </c>
      <c r="H193">
        <v>3318.92</v>
      </c>
      <c r="I193">
        <v>3785.91</v>
      </c>
      <c r="J193" t="s">
        <v>22</v>
      </c>
      <c r="K193">
        <v>0.24</v>
      </c>
      <c r="L193" t="s">
        <v>27</v>
      </c>
      <c r="M193" t="s">
        <v>19</v>
      </c>
      <c r="N193" t="s">
        <v>44</v>
      </c>
      <c r="O193" s="6">
        <f>SalesMaster[[#This Row],[Sales_Amount]]*SalesMaster[[#This Row],[Quantity_Sold]]</f>
        <v>195118</v>
      </c>
      <c r="P193" s="6">
        <f>SalesMaster[[#This Row],[Quantity_Sold]]*SalesMaster[[#This Row],[Unit_Cost]]</f>
        <v>66378.399999999994</v>
      </c>
      <c r="Q193" s="6">
        <f>SalesMaster[[#This Row],[Total_Sales]]-SalesMaster[[#This Row],[Total_Cost]]</f>
        <v>128739.6</v>
      </c>
      <c r="R193" s="1">
        <f>IFERROR(SalesMaster[Net Profit]/SalesMaster[Total_Sales], 0)</f>
        <v>0.65980381102717334</v>
      </c>
      <c r="S193" t="str">
        <f>TEXT(SalesMaster[[#This Row],[Sale_Date]], "mmm")</f>
        <v>Mar</v>
      </c>
      <c r="T193" s="6" t="str">
        <f>IF(SalesMaster[Profit_Margin]&gt;=0.15, "Excellent", IF(SalesMaster[Profit_Margin]&gt;=0.05, "Average", "Needs Improvement"))</f>
        <v>Excellent</v>
      </c>
    </row>
    <row r="194" spans="1:20">
      <c r="A194">
        <v>1024</v>
      </c>
      <c r="B194" s="2">
        <v>44991</v>
      </c>
      <c r="C194" t="s">
        <v>42</v>
      </c>
      <c r="D194" t="s">
        <v>25</v>
      </c>
      <c r="E194">
        <v>9602.64</v>
      </c>
      <c r="F194">
        <v>35</v>
      </c>
      <c r="G194" t="s">
        <v>31</v>
      </c>
      <c r="H194">
        <v>1258.53</v>
      </c>
      <c r="I194">
        <v>1624.8899999999901</v>
      </c>
      <c r="J194" t="s">
        <v>22</v>
      </c>
      <c r="K194">
        <v>0.08</v>
      </c>
      <c r="L194" t="s">
        <v>23</v>
      </c>
      <c r="M194" t="s">
        <v>19</v>
      </c>
      <c r="N194" t="s">
        <v>49</v>
      </c>
      <c r="O194" s="6">
        <f>SalesMaster[[#This Row],[Sales_Amount]]*SalesMaster[[#This Row],[Quantity_Sold]]</f>
        <v>336092.39999999997</v>
      </c>
      <c r="P194" s="6">
        <f>SalesMaster[[#This Row],[Quantity_Sold]]*SalesMaster[[#This Row],[Unit_Cost]]</f>
        <v>44048.549999999996</v>
      </c>
      <c r="Q194" s="6">
        <f>SalesMaster[[#This Row],[Total_Sales]]-SalesMaster[[#This Row],[Total_Cost]]</f>
        <v>292043.84999999998</v>
      </c>
      <c r="R194" s="1">
        <f>IFERROR(SalesMaster[Net Profit]/SalesMaster[Total_Sales], 0)</f>
        <v>0.8689391667291495</v>
      </c>
      <c r="S194" t="str">
        <f>TEXT(SalesMaster[[#This Row],[Sale_Date]], "mmm")</f>
        <v>Mar</v>
      </c>
      <c r="T194" s="6" t="str">
        <f>IF(SalesMaster[Profit_Margin]&gt;=0.15, "Excellent", IF(SalesMaster[Profit_Margin]&gt;=0.05, "Average", "Needs Improvement"))</f>
        <v>Excellent</v>
      </c>
    </row>
    <row r="195" spans="1:20">
      <c r="A195">
        <v>1005</v>
      </c>
      <c r="B195" s="2">
        <v>44993</v>
      </c>
      <c r="C195" t="s">
        <v>42</v>
      </c>
      <c r="D195" t="s">
        <v>15</v>
      </c>
      <c r="E195">
        <v>4426.26</v>
      </c>
      <c r="F195">
        <v>12</v>
      </c>
      <c r="G195" t="s">
        <v>16</v>
      </c>
      <c r="H195">
        <v>253.29</v>
      </c>
      <c r="I195">
        <v>683.78</v>
      </c>
      <c r="J195" t="s">
        <v>22</v>
      </c>
      <c r="K195">
        <v>0.25</v>
      </c>
      <c r="L195" t="s">
        <v>23</v>
      </c>
      <c r="M195" t="s">
        <v>19</v>
      </c>
      <c r="N195" t="s">
        <v>47</v>
      </c>
      <c r="O195" s="6">
        <f>SalesMaster[[#This Row],[Sales_Amount]]*SalesMaster[[#This Row],[Quantity_Sold]]</f>
        <v>53115.12</v>
      </c>
      <c r="P195" s="6">
        <f>SalesMaster[[#This Row],[Quantity_Sold]]*SalesMaster[[#This Row],[Unit_Cost]]</f>
        <v>3039.48</v>
      </c>
      <c r="Q195" s="6">
        <f>SalesMaster[[#This Row],[Total_Sales]]-SalesMaster[[#This Row],[Total_Cost]]</f>
        <v>50075.64</v>
      </c>
      <c r="R195" s="1">
        <f>IFERROR(SalesMaster[Net Profit]/SalesMaster[Total_Sales], 0)</f>
        <v>0.94277561643464225</v>
      </c>
      <c r="S195" t="str">
        <f>TEXT(SalesMaster[[#This Row],[Sale_Date]], "mmm")</f>
        <v>Mar</v>
      </c>
      <c r="T195" s="6" t="str">
        <f>IF(SalesMaster[Profit_Margin]&gt;=0.15, "Excellent", IF(SalesMaster[Profit_Margin]&gt;=0.05, "Average", "Needs Improvement"))</f>
        <v>Excellent</v>
      </c>
    </row>
    <row r="196" spans="1:20">
      <c r="A196">
        <v>1067</v>
      </c>
      <c r="B196" s="2">
        <v>44993</v>
      </c>
      <c r="C196" t="s">
        <v>35</v>
      </c>
      <c r="D196" t="s">
        <v>36</v>
      </c>
      <c r="E196">
        <v>7078.22</v>
      </c>
      <c r="F196">
        <v>28</v>
      </c>
      <c r="G196" t="s">
        <v>31</v>
      </c>
      <c r="H196">
        <v>3489.85</v>
      </c>
      <c r="I196">
        <v>3842.5499999999902</v>
      </c>
      <c r="J196" t="s">
        <v>22</v>
      </c>
      <c r="K196">
        <v>0.03</v>
      </c>
      <c r="L196" t="s">
        <v>27</v>
      </c>
      <c r="M196" t="s">
        <v>19</v>
      </c>
      <c r="N196" t="s">
        <v>37</v>
      </c>
      <c r="O196" s="6">
        <f>SalesMaster[[#This Row],[Sales_Amount]]*SalesMaster[[#This Row],[Quantity_Sold]]</f>
        <v>198190.16</v>
      </c>
      <c r="P196" s="6">
        <f>SalesMaster[[#This Row],[Quantity_Sold]]*SalesMaster[[#This Row],[Unit_Cost]]</f>
        <v>97715.8</v>
      </c>
      <c r="Q196" s="6">
        <f>SalesMaster[[#This Row],[Total_Sales]]-SalesMaster[[#This Row],[Total_Cost]]</f>
        <v>100474.36</v>
      </c>
      <c r="R196" s="1">
        <f>IFERROR(SalesMaster[Net Profit]/SalesMaster[Total_Sales], 0)</f>
        <v>0.50695937679247038</v>
      </c>
      <c r="S196" t="str">
        <f>TEXT(SalesMaster[[#This Row],[Sale_Date]], "mmm")</f>
        <v>Mar</v>
      </c>
      <c r="T196" s="6" t="str">
        <f>IF(SalesMaster[Profit_Margin]&gt;=0.15, "Excellent", IF(SalesMaster[Profit_Margin]&gt;=0.05, "Average", "Needs Improvement"))</f>
        <v>Excellent</v>
      </c>
    </row>
    <row r="197" spans="1:20">
      <c r="A197">
        <v>1058</v>
      </c>
      <c r="B197" s="2">
        <v>44994</v>
      </c>
      <c r="C197" t="s">
        <v>14</v>
      </c>
      <c r="D197" t="s">
        <v>25</v>
      </c>
      <c r="E197">
        <v>3788.08</v>
      </c>
      <c r="F197">
        <v>40</v>
      </c>
      <c r="G197" t="s">
        <v>26</v>
      </c>
      <c r="H197">
        <v>2249.7600000000002</v>
      </c>
      <c r="I197">
        <v>2598.4</v>
      </c>
      <c r="J197" t="s">
        <v>17</v>
      </c>
      <c r="K197">
        <v>0.18</v>
      </c>
      <c r="L197" t="s">
        <v>23</v>
      </c>
      <c r="M197" t="s">
        <v>28</v>
      </c>
      <c r="N197" t="s">
        <v>29</v>
      </c>
      <c r="O197" s="6">
        <f>SalesMaster[[#This Row],[Sales_Amount]]*SalesMaster[[#This Row],[Quantity_Sold]]</f>
        <v>151523.20000000001</v>
      </c>
      <c r="P197" s="6">
        <f>SalesMaster[[#This Row],[Quantity_Sold]]*SalesMaster[[#This Row],[Unit_Cost]]</f>
        <v>89990.400000000009</v>
      </c>
      <c r="Q197" s="6">
        <f>SalesMaster[[#This Row],[Total_Sales]]-SalesMaster[[#This Row],[Total_Cost]]</f>
        <v>61532.800000000003</v>
      </c>
      <c r="R197" s="1">
        <f>IFERROR(SalesMaster[Net Profit]/SalesMaster[Total_Sales], 0)</f>
        <v>0.40609490823847438</v>
      </c>
      <c r="S197" t="str">
        <f>TEXT(SalesMaster[[#This Row],[Sale_Date]], "mmm")</f>
        <v>Mar</v>
      </c>
      <c r="T197" s="6" t="str">
        <f>IF(SalesMaster[Profit_Margin]&gt;=0.15, "Excellent", IF(SalesMaster[Profit_Margin]&gt;=0.05, "Average", "Needs Improvement"))</f>
        <v>Excellent</v>
      </c>
    </row>
    <row r="198" spans="1:20">
      <c r="A198">
        <v>1040</v>
      </c>
      <c r="B198" s="2">
        <v>44995</v>
      </c>
      <c r="C198" t="s">
        <v>21</v>
      </c>
      <c r="D198" t="s">
        <v>36</v>
      </c>
      <c r="E198">
        <v>2331.27</v>
      </c>
      <c r="F198">
        <v>13</v>
      </c>
      <c r="G198" t="s">
        <v>16</v>
      </c>
      <c r="H198">
        <v>2750.18</v>
      </c>
      <c r="I198">
        <v>2882.85</v>
      </c>
      <c r="J198" t="s">
        <v>17</v>
      </c>
      <c r="K198">
        <v>0.24</v>
      </c>
      <c r="L198" t="s">
        <v>23</v>
      </c>
      <c r="M198" t="s">
        <v>19</v>
      </c>
      <c r="N198" t="s">
        <v>38</v>
      </c>
      <c r="O198" s="6">
        <f>SalesMaster[[#This Row],[Sales_Amount]]*SalesMaster[[#This Row],[Quantity_Sold]]</f>
        <v>30306.51</v>
      </c>
      <c r="P198" s="6">
        <f>SalesMaster[[#This Row],[Quantity_Sold]]*SalesMaster[[#This Row],[Unit_Cost]]</f>
        <v>35752.339999999997</v>
      </c>
      <c r="Q198" s="6">
        <f>SalesMaster[[#This Row],[Total_Sales]]-SalesMaster[[#This Row],[Total_Cost]]</f>
        <v>-5445.8299999999981</v>
      </c>
      <c r="R198" s="1">
        <f>IFERROR(SalesMaster[Net Profit]/SalesMaster[Total_Sales], 0)</f>
        <v>-0.17969175599565895</v>
      </c>
      <c r="S198" t="str">
        <f>TEXT(SalesMaster[[#This Row],[Sale_Date]], "mmm")</f>
        <v>Mar</v>
      </c>
      <c r="T198" s="6" t="str">
        <f>IF(SalesMaster[Profit_Margin]&gt;=0.15, "Excellent", IF(SalesMaster[Profit_Margin]&gt;=0.05, "Average", "Needs Improvement"))</f>
        <v>Needs Improvement</v>
      </c>
    </row>
    <row r="199" spans="1:20">
      <c r="A199">
        <v>1027</v>
      </c>
      <c r="B199" s="2">
        <v>44995</v>
      </c>
      <c r="C199" t="s">
        <v>14</v>
      </c>
      <c r="D199" t="s">
        <v>25</v>
      </c>
      <c r="E199">
        <v>3985.34</v>
      </c>
      <c r="F199">
        <v>21</v>
      </c>
      <c r="G199" t="s">
        <v>41</v>
      </c>
      <c r="H199">
        <v>2511.41</v>
      </c>
      <c r="I199">
        <v>2848.3999999999901</v>
      </c>
      <c r="J199" t="s">
        <v>17</v>
      </c>
      <c r="K199">
        <v>0.06</v>
      </c>
      <c r="L199" t="s">
        <v>27</v>
      </c>
      <c r="M199" t="s">
        <v>19</v>
      </c>
      <c r="N199" t="s">
        <v>29</v>
      </c>
      <c r="O199" s="6">
        <f>SalesMaster[[#This Row],[Sales_Amount]]*SalesMaster[[#This Row],[Quantity_Sold]]</f>
        <v>83692.14</v>
      </c>
      <c r="P199" s="6">
        <f>SalesMaster[[#This Row],[Quantity_Sold]]*SalesMaster[[#This Row],[Unit_Cost]]</f>
        <v>52739.61</v>
      </c>
      <c r="Q199" s="6">
        <f>SalesMaster[[#This Row],[Total_Sales]]-SalesMaster[[#This Row],[Total_Cost]]</f>
        <v>30952.53</v>
      </c>
      <c r="R199" s="1">
        <f>IFERROR(SalesMaster[Net Profit]/SalesMaster[Total_Sales], 0)</f>
        <v>0.36983795610914</v>
      </c>
      <c r="S199" t="str">
        <f>TEXT(SalesMaster[[#This Row],[Sale_Date]], "mmm")</f>
        <v>Mar</v>
      </c>
      <c r="T199" s="6" t="str">
        <f>IF(SalesMaster[Profit_Margin]&gt;=0.15, "Excellent", IF(SalesMaster[Profit_Margin]&gt;=0.05, "Average", "Needs Improvement"))</f>
        <v>Excellent</v>
      </c>
    </row>
    <row r="200" spans="1:20">
      <c r="A200">
        <v>1040</v>
      </c>
      <c r="B200" s="2">
        <v>44995</v>
      </c>
      <c r="C200" t="s">
        <v>42</v>
      </c>
      <c r="D200" t="s">
        <v>36</v>
      </c>
      <c r="E200">
        <v>1004.78</v>
      </c>
      <c r="F200">
        <v>42</v>
      </c>
      <c r="G200" t="s">
        <v>31</v>
      </c>
      <c r="H200">
        <v>4205.29</v>
      </c>
      <c r="I200">
        <v>4382.3500000000004</v>
      </c>
      <c r="J200" t="s">
        <v>22</v>
      </c>
      <c r="K200">
        <v>0.25</v>
      </c>
      <c r="L200" t="s">
        <v>18</v>
      </c>
      <c r="M200" t="s">
        <v>28</v>
      </c>
      <c r="N200" t="s">
        <v>43</v>
      </c>
      <c r="O200" s="6">
        <f>SalesMaster[[#This Row],[Sales_Amount]]*SalesMaster[[#This Row],[Quantity_Sold]]</f>
        <v>42200.76</v>
      </c>
      <c r="P200" s="6">
        <f>SalesMaster[[#This Row],[Quantity_Sold]]*SalesMaster[[#This Row],[Unit_Cost]]</f>
        <v>176622.18</v>
      </c>
      <c r="Q200" s="6">
        <f>SalesMaster[[#This Row],[Total_Sales]]-SalesMaster[[#This Row],[Total_Cost]]</f>
        <v>-134421.41999999998</v>
      </c>
      <c r="R200" s="1">
        <f>IFERROR(SalesMaster[Net Profit]/SalesMaster[Total_Sales], 0)</f>
        <v>-3.1852843408507328</v>
      </c>
      <c r="S200" t="str">
        <f>TEXT(SalesMaster[[#This Row],[Sale_Date]], "mmm")</f>
        <v>Mar</v>
      </c>
      <c r="T200" s="6" t="str">
        <f>IF(SalesMaster[Profit_Margin]&gt;=0.15, "Excellent", IF(SalesMaster[Profit_Margin]&gt;=0.05, "Average", "Needs Improvement"))</f>
        <v>Needs Improvement</v>
      </c>
    </row>
    <row r="201" spans="1:20">
      <c r="A201">
        <v>1038</v>
      </c>
      <c r="B201" s="2">
        <v>44996</v>
      </c>
      <c r="C201" t="s">
        <v>35</v>
      </c>
      <c r="D201" t="s">
        <v>25</v>
      </c>
      <c r="E201">
        <v>1452.35</v>
      </c>
      <c r="F201">
        <v>15</v>
      </c>
      <c r="G201" t="s">
        <v>16</v>
      </c>
      <c r="H201">
        <v>2543.36</v>
      </c>
      <c r="I201">
        <v>2790.1</v>
      </c>
      <c r="J201" t="s">
        <v>17</v>
      </c>
      <c r="K201">
        <v>7.0000000000000007E-2</v>
      </c>
      <c r="L201" t="s">
        <v>18</v>
      </c>
      <c r="M201" t="s">
        <v>19</v>
      </c>
      <c r="N201" t="s">
        <v>40</v>
      </c>
      <c r="O201" s="6">
        <f>SalesMaster[[#This Row],[Sales_Amount]]*SalesMaster[[#This Row],[Quantity_Sold]]</f>
        <v>21785.25</v>
      </c>
      <c r="P201" s="6">
        <f>SalesMaster[[#This Row],[Quantity_Sold]]*SalesMaster[[#This Row],[Unit_Cost]]</f>
        <v>38150.400000000001</v>
      </c>
      <c r="Q201" s="6">
        <f>SalesMaster[[#This Row],[Total_Sales]]-SalesMaster[[#This Row],[Total_Cost]]</f>
        <v>-16365.150000000001</v>
      </c>
      <c r="R201" s="1">
        <f>IFERROR(SalesMaster[Net Profit]/SalesMaster[Total_Sales], 0)</f>
        <v>-0.75120322236375536</v>
      </c>
      <c r="S201" t="str">
        <f>TEXT(SalesMaster[[#This Row],[Sale_Date]], "mmm")</f>
        <v>Mar</v>
      </c>
      <c r="T201" s="6" t="str">
        <f>IF(SalesMaster[Profit_Margin]&gt;=0.15, "Excellent", IF(SalesMaster[Profit_Margin]&gt;=0.05, "Average", "Needs Improvement"))</f>
        <v>Needs Improvement</v>
      </c>
    </row>
    <row r="202" spans="1:20">
      <c r="A202">
        <v>1061</v>
      </c>
      <c r="B202" s="2">
        <v>44998</v>
      </c>
      <c r="C202" t="s">
        <v>35</v>
      </c>
      <c r="D202" t="s">
        <v>25</v>
      </c>
      <c r="E202">
        <v>6321.42</v>
      </c>
      <c r="F202">
        <v>11</v>
      </c>
      <c r="G202" t="s">
        <v>16</v>
      </c>
      <c r="H202">
        <v>2594.71</v>
      </c>
      <c r="I202">
        <v>2769.52</v>
      </c>
      <c r="J202" t="s">
        <v>17</v>
      </c>
      <c r="K202">
        <v>0.01</v>
      </c>
      <c r="L202" t="s">
        <v>27</v>
      </c>
      <c r="M202" t="s">
        <v>28</v>
      </c>
      <c r="N202" t="s">
        <v>40</v>
      </c>
      <c r="O202" s="6">
        <f>SalesMaster[[#This Row],[Sales_Amount]]*SalesMaster[[#This Row],[Quantity_Sold]]</f>
        <v>69535.62</v>
      </c>
      <c r="P202" s="6">
        <f>SalesMaster[[#This Row],[Quantity_Sold]]*SalesMaster[[#This Row],[Unit_Cost]]</f>
        <v>28541.81</v>
      </c>
      <c r="Q202" s="6">
        <f>SalesMaster[[#This Row],[Total_Sales]]-SalesMaster[[#This Row],[Total_Cost]]</f>
        <v>40993.81</v>
      </c>
      <c r="R202" s="1">
        <f>IFERROR(SalesMaster[Net Profit]/SalesMaster[Total_Sales], 0)</f>
        <v>0.58953684456973277</v>
      </c>
      <c r="S202" t="str">
        <f>TEXT(SalesMaster[[#This Row],[Sale_Date]], "mmm")</f>
        <v>Mar</v>
      </c>
      <c r="T202" s="6" t="str">
        <f>IF(SalesMaster[Profit_Margin]&gt;=0.15, "Excellent", IF(SalesMaster[Profit_Margin]&gt;=0.05, "Average", "Needs Improvement"))</f>
        <v>Excellent</v>
      </c>
    </row>
    <row r="203" spans="1:20">
      <c r="A203">
        <v>1032</v>
      </c>
      <c r="B203" s="2">
        <v>44998</v>
      </c>
      <c r="C203" t="s">
        <v>42</v>
      </c>
      <c r="D203" t="s">
        <v>15</v>
      </c>
      <c r="E203">
        <v>5768.81</v>
      </c>
      <c r="F203">
        <v>20</v>
      </c>
      <c r="G203" t="s">
        <v>31</v>
      </c>
      <c r="H203">
        <v>4741.59</v>
      </c>
      <c r="I203">
        <v>4975.2299999999996</v>
      </c>
      <c r="J203" t="s">
        <v>22</v>
      </c>
      <c r="K203">
        <v>0.09</v>
      </c>
      <c r="L203" t="s">
        <v>23</v>
      </c>
      <c r="M203" t="s">
        <v>19</v>
      </c>
      <c r="N203" t="s">
        <v>47</v>
      </c>
      <c r="O203" s="6">
        <f>SalesMaster[[#This Row],[Sales_Amount]]*SalesMaster[[#This Row],[Quantity_Sold]]</f>
        <v>115376.20000000001</v>
      </c>
      <c r="P203" s="6">
        <f>SalesMaster[[#This Row],[Quantity_Sold]]*SalesMaster[[#This Row],[Unit_Cost]]</f>
        <v>94831.8</v>
      </c>
      <c r="Q203" s="6">
        <f>SalesMaster[[#This Row],[Total_Sales]]-SalesMaster[[#This Row],[Total_Cost]]</f>
        <v>20544.400000000009</v>
      </c>
      <c r="R203" s="1">
        <f>IFERROR(SalesMaster[Net Profit]/SalesMaster[Total_Sales], 0)</f>
        <v>0.17806445350080871</v>
      </c>
      <c r="S203" t="str">
        <f>TEXT(SalesMaster[[#This Row],[Sale_Date]], "mmm")</f>
        <v>Mar</v>
      </c>
      <c r="T203" s="6" t="str">
        <f>IF(SalesMaster[Profit_Margin]&gt;=0.15, "Excellent", IF(SalesMaster[Profit_Margin]&gt;=0.05, "Average", "Needs Improvement"))</f>
        <v>Excellent</v>
      </c>
    </row>
    <row r="204" spans="1:20">
      <c r="A204">
        <v>1038</v>
      </c>
      <c r="B204" s="2">
        <v>44998</v>
      </c>
      <c r="C204" t="s">
        <v>30</v>
      </c>
      <c r="D204" t="s">
        <v>15</v>
      </c>
      <c r="E204">
        <v>763.46</v>
      </c>
      <c r="F204">
        <v>9</v>
      </c>
      <c r="G204" t="s">
        <v>16</v>
      </c>
      <c r="H204">
        <v>400.42</v>
      </c>
      <c r="I204">
        <v>446.11</v>
      </c>
      <c r="J204" t="s">
        <v>22</v>
      </c>
      <c r="K204">
        <v>0.01</v>
      </c>
      <c r="L204" t="s">
        <v>27</v>
      </c>
      <c r="M204" t="s">
        <v>28</v>
      </c>
      <c r="N204" t="s">
        <v>53</v>
      </c>
      <c r="O204" s="6">
        <f>SalesMaster[[#This Row],[Sales_Amount]]*SalesMaster[[#This Row],[Quantity_Sold]]</f>
        <v>6871.14</v>
      </c>
      <c r="P204" s="6">
        <f>SalesMaster[[#This Row],[Quantity_Sold]]*SalesMaster[[#This Row],[Unit_Cost]]</f>
        <v>3603.78</v>
      </c>
      <c r="Q204" s="6">
        <f>SalesMaster[[#This Row],[Total_Sales]]-SalesMaster[[#This Row],[Total_Cost]]</f>
        <v>3267.36</v>
      </c>
      <c r="R204" s="1">
        <f>IFERROR(SalesMaster[Net Profit]/SalesMaster[Total_Sales], 0)</f>
        <v>0.47551934613470254</v>
      </c>
      <c r="S204" t="str">
        <f>TEXT(SalesMaster[[#This Row],[Sale_Date]], "mmm")</f>
        <v>Mar</v>
      </c>
      <c r="T204" s="6" t="str">
        <f>IF(SalesMaster[Profit_Margin]&gt;=0.15, "Excellent", IF(SalesMaster[Profit_Margin]&gt;=0.05, "Average", "Needs Improvement"))</f>
        <v>Excellent</v>
      </c>
    </row>
    <row r="205" spans="1:20">
      <c r="A205">
        <v>1030</v>
      </c>
      <c r="B205" s="2">
        <v>44998</v>
      </c>
      <c r="C205" t="s">
        <v>42</v>
      </c>
      <c r="D205" t="s">
        <v>15</v>
      </c>
      <c r="E205">
        <v>9385.86</v>
      </c>
      <c r="F205">
        <v>39</v>
      </c>
      <c r="G205" t="s">
        <v>41</v>
      </c>
      <c r="H205">
        <v>2511.2800000000002</v>
      </c>
      <c r="I205">
        <v>2658.06</v>
      </c>
      <c r="J205" t="s">
        <v>22</v>
      </c>
      <c r="K205">
        <v>0.19</v>
      </c>
      <c r="L205" t="s">
        <v>23</v>
      </c>
      <c r="M205" t="s">
        <v>28</v>
      </c>
      <c r="N205" t="s">
        <v>47</v>
      </c>
      <c r="O205" s="6">
        <f>SalesMaster[[#This Row],[Sales_Amount]]*SalesMaster[[#This Row],[Quantity_Sold]]</f>
        <v>366048.54000000004</v>
      </c>
      <c r="P205" s="6">
        <f>SalesMaster[[#This Row],[Quantity_Sold]]*SalesMaster[[#This Row],[Unit_Cost]]</f>
        <v>97939.920000000013</v>
      </c>
      <c r="Q205" s="6">
        <f>SalesMaster[[#This Row],[Total_Sales]]-SalesMaster[[#This Row],[Total_Cost]]</f>
        <v>268108.62</v>
      </c>
      <c r="R205" s="1">
        <f>IFERROR(SalesMaster[Net Profit]/SalesMaster[Total_Sales], 0)</f>
        <v>0.73244007475074202</v>
      </c>
      <c r="S205" t="str">
        <f>TEXT(SalesMaster[[#This Row],[Sale_Date]], "mmm")</f>
        <v>Mar</v>
      </c>
      <c r="T205" s="6" t="str">
        <f>IF(SalesMaster[Profit_Margin]&gt;=0.15, "Excellent", IF(SalesMaster[Profit_Margin]&gt;=0.05, "Average", "Needs Improvement"))</f>
        <v>Excellent</v>
      </c>
    </row>
    <row r="206" spans="1:20">
      <c r="A206">
        <v>1090</v>
      </c>
      <c r="B206" s="2">
        <v>44999</v>
      </c>
      <c r="C206" t="s">
        <v>30</v>
      </c>
      <c r="D206" t="s">
        <v>36</v>
      </c>
      <c r="E206">
        <v>6761.43</v>
      </c>
      <c r="F206">
        <v>47</v>
      </c>
      <c r="G206" t="s">
        <v>26</v>
      </c>
      <c r="H206">
        <v>2310.8200000000002</v>
      </c>
      <c r="I206">
        <v>2714.71</v>
      </c>
      <c r="J206" t="s">
        <v>22</v>
      </c>
      <c r="K206">
        <v>0.19</v>
      </c>
      <c r="L206" t="s">
        <v>18</v>
      </c>
      <c r="M206" t="s">
        <v>28</v>
      </c>
      <c r="N206" t="s">
        <v>46</v>
      </c>
      <c r="O206" s="6">
        <f>SalesMaster[[#This Row],[Sales_Amount]]*SalesMaster[[#This Row],[Quantity_Sold]]</f>
        <v>317787.21000000002</v>
      </c>
      <c r="P206" s="6">
        <f>SalesMaster[[#This Row],[Quantity_Sold]]*SalesMaster[[#This Row],[Unit_Cost]]</f>
        <v>108608.54000000001</v>
      </c>
      <c r="Q206" s="6">
        <f>SalesMaster[[#This Row],[Total_Sales]]-SalesMaster[[#This Row],[Total_Cost]]</f>
        <v>209178.67</v>
      </c>
      <c r="R206" s="1">
        <f>IFERROR(SalesMaster[Net Profit]/SalesMaster[Total_Sales], 0)</f>
        <v>0.65823501833192088</v>
      </c>
      <c r="S206" t="str">
        <f>TEXT(SalesMaster[[#This Row],[Sale_Date]], "mmm")</f>
        <v>Mar</v>
      </c>
      <c r="T206" s="6" t="str">
        <f>IF(SalesMaster[Profit_Margin]&gt;=0.15, "Excellent", IF(SalesMaster[Profit_Margin]&gt;=0.05, "Average", "Needs Improvement"))</f>
        <v>Excellent</v>
      </c>
    </row>
    <row r="207" spans="1:20">
      <c r="A207">
        <v>1062</v>
      </c>
      <c r="B207" s="2">
        <v>44999</v>
      </c>
      <c r="C207" t="s">
        <v>42</v>
      </c>
      <c r="D207" t="s">
        <v>36</v>
      </c>
      <c r="E207">
        <v>4178.3900000000003</v>
      </c>
      <c r="F207">
        <v>24</v>
      </c>
      <c r="G207" t="s">
        <v>41</v>
      </c>
      <c r="H207">
        <v>3018.01</v>
      </c>
      <c r="I207">
        <v>3418.19</v>
      </c>
      <c r="J207" t="s">
        <v>17</v>
      </c>
      <c r="K207">
        <v>0.23</v>
      </c>
      <c r="L207" t="s">
        <v>27</v>
      </c>
      <c r="M207" t="s">
        <v>28</v>
      </c>
      <c r="N207" t="s">
        <v>43</v>
      </c>
      <c r="O207" s="6">
        <f>SalesMaster[[#This Row],[Sales_Amount]]*SalesMaster[[#This Row],[Quantity_Sold]]</f>
        <v>100281.36000000002</v>
      </c>
      <c r="P207" s="6">
        <f>SalesMaster[[#This Row],[Quantity_Sold]]*SalesMaster[[#This Row],[Unit_Cost]]</f>
        <v>72432.240000000005</v>
      </c>
      <c r="Q207" s="6">
        <f>SalesMaster[[#This Row],[Total_Sales]]-SalesMaster[[#This Row],[Total_Cost]]</f>
        <v>27849.12000000001</v>
      </c>
      <c r="R207" s="1">
        <f>IFERROR(SalesMaster[Net Profit]/SalesMaster[Total_Sales], 0)</f>
        <v>0.2777098356065375</v>
      </c>
      <c r="S207" t="str">
        <f>TEXT(SalesMaster[[#This Row],[Sale_Date]], "mmm")</f>
        <v>Mar</v>
      </c>
      <c r="T207" s="6" t="str">
        <f>IF(SalesMaster[Profit_Margin]&gt;=0.15, "Excellent", IF(SalesMaster[Profit_Margin]&gt;=0.05, "Average", "Needs Improvement"))</f>
        <v>Excellent</v>
      </c>
    </row>
    <row r="208" spans="1:20">
      <c r="A208">
        <v>1021</v>
      </c>
      <c r="B208" s="2">
        <v>44999</v>
      </c>
      <c r="C208" t="s">
        <v>30</v>
      </c>
      <c r="D208" t="s">
        <v>25</v>
      </c>
      <c r="E208">
        <v>7792.79</v>
      </c>
      <c r="F208">
        <v>23</v>
      </c>
      <c r="G208" t="s">
        <v>41</v>
      </c>
      <c r="H208">
        <v>580.75</v>
      </c>
      <c r="I208">
        <v>956.16</v>
      </c>
      <c r="J208" t="s">
        <v>17</v>
      </c>
      <c r="K208">
        <v>7.0000000000000007E-2</v>
      </c>
      <c r="L208" t="s">
        <v>18</v>
      </c>
      <c r="M208" t="s">
        <v>28</v>
      </c>
      <c r="N208" t="s">
        <v>32</v>
      </c>
      <c r="O208" s="6">
        <f>SalesMaster[[#This Row],[Sales_Amount]]*SalesMaster[[#This Row],[Quantity_Sold]]</f>
        <v>179234.17</v>
      </c>
      <c r="P208" s="6">
        <f>SalesMaster[[#This Row],[Quantity_Sold]]*SalesMaster[[#This Row],[Unit_Cost]]</f>
        <v>13357.25</v>
      </c>
      <c r="Q208" s="6">
        <f>SalesMaster[[#This Row],[Total_Sales]]-SalesMaster[[#This Row],[Total_Cost]]</f>
        <v>165876.92000000001</v>
      </c>
      <c r="R208" s="1">
        <f>IFERROR(SalesMaster[Net Profit]/SalesMaster[Total_Sales], 0)</f>
        <v>0.92547598485266513</v>
      </c>
      <c r="S208" t="str">
        <f>TEXT(SalesMaster[[#This Row],[Sale_Date]], "mmm")</f>
        <v>Mar</v>
      </c>
      <c r="T208" s="6" t="str">
        <f>IF(SalesMaster[Profit_Margin]&gt;=0.15, "Excellent", IF(SalesMaster[Profit_Margin]&gt;=0.05, "Average", "Needs Improvement"))</f>
        <v>Excellent</v>
      </c>
    </row>
    <row r="209" spans="1:20">
      <c r="A209">
        <v>1060</v>
      </c>
      <c r="B209" s="2">
        <v>45000</v>
      </c>
      <c r="C209" t="s">
        <v>30</v>
      </c>
      <c r="D209" t="s">
        <v>25</v>
      </c>
      <c r="E209">
        <v>8594.43</v>
      </c>
      <c r="F209">
        <v>44</v>
      </c>
      <c r="G209" t="s">
        <v>16</v>
      </c>
      <c r="H209">
        <v>2211.9499999999998</v>
      </c>
      <c r="I209">
        <v>2512.8399999999901</v>
      </c>
      <c r="J209" t="s">
        <v>17</v>
      </c>
      <c r="K209">
        <v>0.04</v>
      </c>
      <c r="L209" t="s">
        <v>18</v>
      </c>
      <c r="M209" t="s">
        <v>19</v>
      </c>
      <c r="N209" t="s">
        <v>32</v>
      </c>
      <c r="O209" s="6">
        <f>SalesMaster[[#This Row],[Sales_Amount]]*SalesMaster[[#This Row],[Quantity_Sold]]</f>
        <v>378154.92000000004</v>
      </c>
      <c r="P209" s="6">
        <f>SalesMaster[[#This Row],[Quantity_Sold]]*SalesMaster[[#This Row],[Unit_Cost]]</f>
        <v>97325.799999999988</v>
      </c>
      <c r="Q209" s="6">
        <f>SalesMaster[[#This Row],[Total_Sales]]-SalesMaster[[#This Row],[Total_Cost]]</f>
        <v>280829.12000000005</v>
      </c>
      <c r="R209" s="1">
        <f>IFERROR(SalesMaster[Net Profit]/SalesMaster[Total_Sales], 0)</f>
        <v>0.74262981954591523</v>
      </c>
      <c r="S209" t="str">
        <f>TEXT(SalesMaster[[#This Row],[Sale_Date]], "mmm")</f>
        <v>Mar</v>
      </c>
      <c r="T209" s="6" t="str">
        <f>IF(SalesMaster[Profit_Margin]&gt;=0.15, "Excellent", IF(SalesMaster[Profit_Margin]&gt;=0.05, "Average", "Needs Improvement"))</f>
        <v>Excellent</v>
      </c>
    </row>
    <row r="210" spans="1:20">
      <c r="A210">
        <v>1062</v>
      </c>
      <c r="B210" s="2">
        <v>45001</v>
      </c>
      <c r="C210" t="s">
        <v>30</v>
      </c>
      <c r="D210" t="s">
        <v>33</v>
      </c>
      <c r="E210">
        <v>4195.0600000000004</v>
      </c>
      <c r="F210">
        <v>45</v>
      </c>
      <c r="G210" t="s">
        <v>26</v>
      </c>
      <c r="H210">
        <v>4849.6000000000004</v>
      </c>
      <c r="I210">
        <v>5166.72</v>
      </c>
      <c r="J210" t="s">
        <v>17</v>
      </c>
      <c r="K210">
        <v>0.25</v>
      </c>
      <c r="L210" t="s">
        <v>23</v>
      </c>
      <c r="M210" t="s">
        <v>19</v>
      </c>
      <c r="N210" t="s">
        <v>34</v>
      </c>
      <c r="O210" s="6">
        <f>SalesMaster[[#This Row],[Sales_Amount]]*SalesMaster[[#This Row],[Quantity_Sold]]</f>
        <v>188777.7</v>
      </c>
      <c r="P210" s="6">
        <f>SalesMaster[[#This Row],[Quantity_Sold]]*SalesMaster[[#This Row],[Unit_Cost]]</f>
        <v>218232.00000000003</v>
      </c>
      <c r="Q210" s="6">
        <f>SalesMaster[[#This Row],[Total_Sales]]-SalesMaster[[#This Row],[Total_Cost]]</f>
        <v>-29454.300000000017</v>
      </c>
      <c r="R210" s="1">
        <f>IFERROR(SalesMaster[Net Profit]/SalesMaster[Total_Sales], 0)</f>
        <v>-0.15602637387784687</v>
      </c>
      <c r="S210" t="str">
        <f>TEXT(SalesMaster[[#This Row],[Sale_Date]], "mmm")</f>
        <v>Mar</v>
      </c>
      <c r="T210" s="6" t="str">
        <f>IF(SalesMaster[Profit_Margin]&gt;=0.15, "Excellent", IF(SalesMaster[Profit_Margin]&gt;=0.05, "Average", "Needs Improvement"))</f>
        <v>Needs Improvement</v>
      </c>
    </row>
    <row r="211" spans="1:20">
      <c r="A211">
        <v>1097</v>
      </c>
      <c r="B211" s="2">
        <v>45001</v>
      </c>
      <c r="C211" t="s">
        <v>30</v>
      </c>
      <c r="D211" t="s">
        <v>25</v>
      </c>
      <c r="E211">
        <v>471.95</v>
      </c>
      <c r="F211">
        <v>35</v>
      </c>
      <c r="G211" t="s">
        <v>41</v>
      </c>
      <c r="H211">
        <v>1958.49</v>
      </c>
      <c r="I211">
        <v>2254.84</v>
      </c>
      <c r="J211" t="s">
        <v>22</v>
      </c>
      <c r="K211">
        <v>0.16</v>
      </c>
      <c r="L211" t="s">
        <v>23</v>
      </c>
      <c r="M211" t="s">
        <v>19</v>
      </c>
      <c r="N211" t="s">
        <v>32</v>
      </c>
      <c r="O211" s="6">
        <f>SalesMaster[[#This Row],[Sales_Amount]]*SalesMaster[[#This Row],[Quantity_Sold]]</f>
        <v>16518.25</v>
      </c>
      <c r="P211" s="6">
        <f>SalesMaster[[#This Row],[Quantity_Sold]]*SalesMaster[[#This Row],[Unit_Cost]]</f>
        <v>68547.149999999994</v>
      </c>
      <c r="Q211" s="6">
        <f>SalesMaster[[#This Row],[Total_Sales]]-SalesMaster[[#This Row],[Total_Cost]]</f>
        <v>-52028.899999999994</v>
      </c>
      <c r="R211" s="1">
        <f>IFERROR(SalesMaster[Net Profit]/SalesMaster[Total_Sales], 0)</f>
        <v>-3.1497828159762684</v>
      </c>
      <c r="S211" t="str">
        <f>TEXT(SalesMaster[[#This Row],[Sale_Date]], "mmm")</f>
        <v>Mar</v>
      </c>
      <c r="T211" s="6" t="str">
        <f>IF(SalesMaster[Profit_Margin]&gt;=0.15, "Excellent", IF(SalesMaster[Profit_Margin]&gt;=0.05, "Average", "Needs Improvement"))</f>
        <v>Needs Improvement</v>
      </c>
    </row>
    <row r="212" spans="1:20">
      <c r="A212">
        <v>1039</v>
      </c>
      <c r="B212" s="2">
        <v>45001</v>
      </c>
      <c r="C212" t="s">
        <v>14</v>
      </c>
      <c r="D212" t="s">
        <v>15</v>
      </c>
      <c r="E212">
        <v>6076.01</v>
      </c>
      <c r="F212">
        <v>35</v>
      </c>
      <c r="G212" t="s">
        <v>26</v>
      </c>
      <c r="H212">
        <v>2735.74</v>
      </c>
      <c r="I212">
        <v>3181.22999999999</v>
      </c>
      <c r="J212" t="s">
        <v>22</v>
      </c>
      <c r="K212">
        <v>0.1</v>
      </c>
      <c r="L212" t="s">
        <v>23</v>
      </c>
      <c r="M212" t="s">
        <v>28</v>
      </c>
      <c r="N212" t="s">
        <v>20</v>
      </c>
      <c r="O212" s="6">
        <f>SalesMaster[[#This Row],[Sales_Amount]]*SalesMaster[[#This Row],[Quantity_Sold]]</f>
        <v>212660.35</v>
      </c>
      <c r="P212" s="6">
        <f>SalesMaster[[#This Row],[Quantity_Sold]]*SalesMaster[[#This Row],[Unit_Cost]]</f>
        <v>95750.9</v>
      </c>
      <c r="Q212" s="6">
        <f>SalesMaster[[#This Row],[Total_Sales]]-SalesMaster[[#This Row],[Total_Cost]]</f>
        <v>116909.45000000001</v>
      </c>
      <c r="R212" s="1">
        <f>IFERROR(SalesMaster[Net Profit]/SalesMaster[Total_Sales], 0)</f>
        <v>0.54974728481355362</v>
      </c>
      <c r="S212" t="str">
        <f>TEXT(SalesMaster[[#This Row],[Sale_Date]], "mmm")</f>
        <v>Mar</v>
      </c>
      <c r="T212" s="6" t="str">
        <f>IF(SalesMaster[Profit_Margin]&gt;=0.15, "Excellent", IF(SalesMaster[Profit_Margin]&gt;=0.05, "Average", "Needs Improvement"))</f>
        <v>Excellent</v>
      </c>
    </row>
    <row r="213" spans="1:20">
      <c r="A213">
        <v>1098</v>
      </c>
      <c r="B213" s="2">
        <v>45001</v>
      </c>
      <c r="C213" t="s">
        <v>30</v>
      </c>
      <c r="D213" t="s">
        <v>25</v>
      </c>
      <c r="E213">
        <v>6780.38</v>
      </c>
      <c r="F213">
        <v>11</v>
      </c>
      <c r="G213" t="s">
        <v>26</v>
      </c>
      <c r="H213">
        <v>741.48</v>
      </c>
      <c r="I213">
        <v>878.09</v>
      </c>
      <c r="J213" t="s">
        <v>22</v>
      </c>
      <c r="K213">
        <v>0.28999999999999998</v>
      </c>
      <c r="L213" t="s">
        <v>18</v>
      </c>
      <c r="M213" t="s">
        <v>28</v>
      </c>
      <c r="N213" t="s">
        <v>32</v>
      </c>
      <c r="O213" s="6">
        <f>SalesMaster[[#This Row],[Sales_Amount]]*SalesMaster[[#This Row],[Quantity_Sold]]</f>
        <v>74584.180000000008</v>
      </c>
      <c r="P213" s="6">
        <f>SalesMaster[[#This Row],[Quantity_Sold]]*SalesMaster[[#This Row],[Unit_Cost]]</f>
        <v>8156.2800000000007</v>
      </c>
      <c r="Q213" s="6">
        <f>SalesMaster[[#This Row],[Total_Sales]]-SalesMaster[[#This Row],[Total_Cost]]</f>
        <v>66427.900000000009</v>
      </c>
      <c r="R213" s="1">
        <f>IFERROR(SalesMaster[Net Profit]/SalesMaster[Total_Sales], 0)</f>
        <v>0.8906432972783237</v>
      </c>
      <c r="S213" t="str">
        <f>TEXT(SalesMaster[[#This Row],[Sale_Date]], "mmm")</f>
        <v>Mar</v>
      </c>
      <c r="T213" s="6" t="str">
        <f>IF(SalesMaster[Profit_Margin]&gt;=0.15, "Excellent", IF(SalesMaster[Profit_Margin]&gt;=0.05, "Average", "Needs Improvement"))</f>
        <v>Excellent</v>
      </c>
    </row>
    <row r="214" spans="1:20">
      <c r="A214">
        <v>1024</v>
      </c>
      <c r="B214" s="2">
        <v>45002</v>
      </c>
      <c r="C214" t="s">
        <v>14</v>
      </c>
      <c r="D214" t="s">
        <v>25</v>
      </c>
      <c r="E214">
        <v>5825.15</v>
      </c>
      <c r="F214">
        <v>46</v>
      </c>
      <c r="G214" t="s">
        <v>31</v>
      </c>
      <c r="H214">
        <v>2016.49</v>
      </c>
      <c r="I214">
        <v>2338.66</v>
      </c>
      <c r="J214" t="s">
        <v>17</v>
      </c>
      <c r="K214">
        <v>0.19</v>
      </c>
      <c r="L214" t="s">
        <v>27</v>
      </c>
      <c r="M214" t="s">
        <v>28</v>
      </c>
      <c r="N214" t="s">
        <v>29</v>
      </c>
      <c r="O214" s="6">
        <f>SalesMaster[[#This Row],[Sales_Amount]]*SalesMaster[[#This Row],[Quantity_Sold]]</f>
        <v>267956.89999999997</v>
      </c>
      <c r="P214" s="6">
        <f>SalesMaster[[#This Row],[Quantity_Sold]]*SalesMaster[[#This Row],[Unit_Cost]]</f>
        <v>92758.54</v>
      </c>
      <c r="Q214" s="6">
        <f>SalesMaster[[#This Row],[Total_Sales]]-SalesMaster[[#This Row],[Total_Cost]]</f>
        <v>175198.36</v>
      </c>
      <c r="R214" s="1">
        <f>IFERROR(SalesMaster[Net Profit]/SalesMaster[Total_Sales], 0)</f>
        <v>0.65383037346677775</v>
      </c>
      <c r="S214" t="str">
        <f>TEXT(SalesMaster[[#This Row],[Sale_Date]], "mmm")</f>
        <v>Mar</v>
      </c>
      <c r="T214" s="6" t="str">
        <f>IF(SalesMaster[Profit_Margin]&gt;=0.15, "Excellent", IF(SalesMaster[Profit_Margin]&gt;=0.05, "Average", "Needs Improvement"))</f>
        <v>Excellent</v>
      </c>
    </row>
    <row r="215" spans="1:20">
      <c r="A215">
        <v>1036</v>
      </c>
      <c r="B215" s="2">
        <v>45002</v>
      </c>
      <c r="C215" t="s">
        <v>42</v>
      </c>
      <c r="D215" t="s">
        <v>36</v>
      </c>
      <c r="E215">
        <v>2583.84</v>
      </c>
      <c r="F215">
        <v>23</v>
      </c>
      <c r="G215" t="s">
        <v>41</v>
      </c>
      <c r="H215">
        <v>3335.53</v>
      </c>
      <c r="I215">
        <v>3742.12</v>
      </c>
      <c r="J215" t="s">
        <v>22</v>
      </c>
      <c r="K215">
        <v>0.03</v>
      </c>
      <c r="L215" t="s">
        <v>27</v>
      </c>
      <c r="M215" t="s">
        <v>28</v>
      </c>
      <c r="N215" t="s">
        <v>43</v>
      </c>
      <c r="O215" s="6">
        <f>SalesMaster[[#This Row],[Sales_Amount]]*SalesMaster[[#This Row],[Quantity_Sold]]</f>
        <v>59428.320000000007</v>
      </c>
      <c r="P215" s="6">
        <f>SalesMaster[[#This Row],[Quantity_Sold]]*SalesMaster[[#This Row],[Unit_Cost]]</f>
        <v>76717.19</v>
      </c>
      <c r="Q215" s="6">
        <f>SalesMaster[[#This Row],[Total_Sales]]-SalesMaster[[#This Row],[Total_Cost]]</f>
        <v>-17288.869999999995</v>
      </c>
      <c r="R215" s="1">
        <f>IFERROR(SalesMaster[Net Profit]/SalesMaster[Total_Sales], 0)</f>
        <v>-0.2909197163911077</v>
      </c>
      <c r="S215" t="str">
        <f>TEXT(SalesMaster[[#This Row],[Sale_Date]], "mmm")</f>
        <v>Mar</v>
      </c>
      <c r="T215" s="6" t="str">
        <f>IF(SalesMaster[Profit_Margin]&gt;=0.15, "Excellent", IF(SalesMaster[Profit_Margin]&gt;=0.05, "Average", "Needs Improvement"))</f>
        <v>Needs Improvement</v>
      </c>
    </row>
    <row r="216" spans="1:20">
      <c r="A216">
        <v>1017</v>
      </c>
      <c r="B216" s="2">
        <v>45002</v>
      </c>
      <c r="C216" t="s">
        <v>35</v>
      </c>
      <c r="D216" t="s">
        <v>15</v>
      </c>
      <c r="E216">
        <v>2401.81</v>
      </c>
      <c r="F216">
        <v>28</v>
      </c>
      <c r="G216" t="s">
        <v>16</v>
      </c>
      <c r="H216">
        <v>3780.91</v>
      </c>
      <c r="I216">
        <v>3892.73</v>
      </c>
      <c r="J216" t="s">
        <v>17</v>
      </c>
      <c r="K216">
        <v>0.1</v>
      </c>
      <c r="L216" t="s">
        <v>18</v>
      </c>
      <c r="M216" t="s">
        <v>28</v>
      </c>
      <c r="N216" t="s">
        <v>44</v>
      </c>
      <c r="O216" s="6">
        <f>SalesMaster[[#This Row],[Sales_Amount]]*SalesMaster[[#This Row],[Quantity_Sold]]</f>
        <v>67250.679999999993</v>
      </c>
      <c r="P216" s="6">
        <f>SalesMaster[[#This Row],[Quantity_Sold]]*SalesMaster[[#This Row],[Unit_Cost]]</f>
        <v>105865.48</v>
      </c>
      <c r="Q216" s="6">
        <f>SalesMaster[[#This Row],[Total_Sales]]-SalesMaster[[#This Row],[Total_Cost]]</f>
        <v>-38614.800000000003</v>
      </c>
      <c r="R216" s="1">
        <f>IFERROR(SalesMaster[Net Profit]/SalesMaster[Total_Sales], 0)</f>
        <v>-0.5741919635608147</v>
      </c>
      <c r="S216" t="str">
        <f>TEXT(SalesMaster[[#This Row],[Sale_Date]], "mmm")</f>
        <v>Mar</v>
      </c>
      <c r="T216" s="6" t="str">
        <f>IF(SalesMaster[Profit_Margin]&gt;=0.15, "Excellent", IF(SalesMaster[Profit_Margin]&gt;=0.05, "Average", "Needs Improvement"))</f>
        <v>Needs Improvement</v>
      </c>
    </row>
    <row r="217" spans="1:20">
      <c r="A217">
        <v>1016</v>
      </c>
      <c r="B217" s="2">
        <v>45003</v>
      </c>
      <c r="C217" t="s">
        <v>30</v>
      </c>
      <c r="D217" t="s">
        <v>25</v>
      </c>
      <c r="E217">
        <v>485.9</v>
      </c>
      <c r="F217">
        <v>4</v>
      </c>
      <c r="G217" t="s">
        <v>41</v>
      </c>
      <c r="H217">
        <v>688.98</v>
      </c>
      <c r="I217">
        <v>863.81</v>
      </c>
      <c r="J217" t="s">
        <v>22</v>
      </c>
      <c r="K217">
        <v>0.27</v>
      </c>
      <c r="L217" t="s">
        <v>23</v>
      </c>
      <c r="M217" t="s">
        <v>28</v>
      </c>
      <c r="N217" t="s">
        <v>32</v>
      </c>
      <c r="O217" s="6">
        <f>SalesMaster[[#This Row],[Sales_Amount]]*SalesMaster[[#This Row],[Quantity_Sold]]</f>
        <v>1943.6</v>
      </c>
      <c r="P217" s="6">
        <f>SalesMaster[[#This Row],[Quantity_Sold]]*SalesMaster[[#This Row],[Unit_Cost]]</f>
        <v>2755.92</v>
      </c>
      <c r="Q217" s="6">
        <f>SalesMaster[[#This Row],[Total_Sales]]-SalesMaster[[#This Row],[Total_Cost]]</f>
        <v>-812.32000000000016</v>
      </c>
      <c r="R217" s="1">
        <f>IFERROR(SalesMaster[Net Profit]/SalesMaster[Total_Sales], 0)</f>
        <v>-0.41794607944021411</v>
      </c>
      <c r="S217" t="str">
        <f>TEXT(SalesMaster[[#This Row],[Sale_Date]], "mmm")</f>
        <v>Mar</v>
      </c>
      <c r="T217" s="6" t="str">
        <f>IF(SalesMaster[Profit_Margin]&gt;=0.15, "Excellent", IF(SalesMaster[Profit_Margin]&gt;=0.05, "Average", "Needs Improvement"))</f>
        <v>Needs Improvement</v>
      </c>
    </row>
    <row r="218" spans="1:20">
      <c r="A218">
        <v>1095</v>
      </c>
      <c r="B218" s="2">
        <v>45003</v>
      </c>
      <c r="C218" t="s">
        <v>14</v>
      </c>
      <c r="D218" t="s">
        <v>25</v>
      </c>
      <c r="E218">
        <v>8057.67</v>
      </c>
      <c r="F218">
        <v>43</v>
      </c>
      <c r="G218" t="s">
        <v>26</v>
      </c>
      <c r="H218">
        <v>1331.86</v>
      </c>
      <c r="I218">
        <v>1758.98</v>
      </c>
      <c r="J218" t="s">
        <v>17</v>
      </c>
      <c r="K218">
        <v>0.23</v>
      </c>
      <c r="L218" t="s">
        <v>27</v>
      </c>
      <c r="M218" t="s">
        <v>28</v>
      </c>
      <c r="N218" t="s">
        <v>29</v>
      </c>
      <c r="O218" s="6">
        <f>SalesMaster[[#This Row],[Sales_Amount]]*SalesMaster[[#This Row],[Quantity_Sold]]</f>
        <v>346479.81</v>
      </c>
      <c r="P218" s="6">
        <f>SalesMaster[[#This Row],[Quantity_Sold]]*SalesMaster[[#This Row],[Unit_Cost]]</f>
        <v>57269.979999999996</v>
      </c>
      <c r="Q218" s="6">
        <f>SalesMaster[[#This Row],[Total_Sales]]-SalesMaster[[#This Row],[Total_Cost]]</f>
        <v>289209.83</v>
      </c>
      <c r="R218" s="1">
        <f>IFERROR(SalesMaster[Net Profit]/SalesMaster[Total_Sales], 0)</f>
        <v>0.83470904119925493</v>
      </c>
      <c r="S218" t="str">
        <f>TEXT(SalesMaster[[#This Row],[Sale_Date]], "mmm")</f>
        <v>Mar</v>
      </c>
      <c r="T218" s="6" t="str">
        <f>IF(SalesMaster[Profit_Margin]&gt;=0.15, "Excellent", IF(SalesMaster[Profit_Margin]&gt;=0.05, "Average", "Needs Improvement"))</f>
        <v>Excellent</v>
      </c>
    </row>
    <row r="219" spans="1:20">
      <c r="A219">
        <v>1035</v>
      </c>
      <c r="B219" s="2">
        <v>45004</v>
      </c>
      <c r="C219" t="s">
        <v>35</v>
      </c>
      <c r="D219" t="s">
        <v>25</v>
      </c>
      <c r="E219">
        <v>5343.63</v>
      </c>
      <c r="F219">
        <v>9</v>
      </c>
      <c r="G219" t="s">
        <v>16</v>
      </c>
      <c r="H219">
        <v>2534.94</v>
      </c>
      <c r="I219">
        <v>2755.56</v>
      </c>
      <c r="J219" t="s">
        <v>17</v>
      </c>
      <c r="K219">
        <v>0.13</v>
      </c>
      <c r="L219" t="s">
        <v>23</v>
      </c>
      <c r="M219" t="s">
        <v>28</v>
      </c>
      <c r="N219" t="s">
        <v>40</v>
      </c>
      <c r="O219" s="6">
        <f>SalesMaster[[#This Row],[Sales_Amount]]*SalesMaster[[#This Row],[Quantity_Sold]]</f>
        <v>48092.67</v>
      </c>
      <c r="P219" s="6">
        <f>SalesMaster[[#This Row],[Quantity_Sold]]*SalesMaster[[#This Row],[Unit_Cost]]</f>
        <v>22814.46</v>
      </c>
      <c r="Q219" s="6">
        <f>SalesMaster[[#This Row],[Total_Sales]]-SalesMaster[[#This Row],[Total_Cost]]</f>
        <v>25278.21</v>
      </c>
      <c r="R219" s="1">
        <f>IFERROR(SalesMaster[Net Profit]/SalesMaster[Total_Sales], 0)</f>
        <v>0.52561461029300305</v>
      </c>
      <c r="S219" t="str">
        <f>TEXT(SalesMaster[[#This Row],[Sale_Date]], "mmm")</f>
        <v>Mar</v>
      </c>
      <c r="T219" s="6" t="str">
        <f>IF(SalesMaster[Profit_Margin]&gt;=0.15, "Excellent", IF(SalesMaster[Profit_Margin]&gt;=0.05, "Average", "Needs Improvement"))</f>
        <v>Excellent</v>
      </c>
    </row>
    <row r="220" spans="1:20">
      <c r="A220">
        <v>1020</v>
      </c>
      <c r="B220" s="2">
        <v>45004</v>
      </c>
      <c r="C220" t="s">
        <v>14</v>
      </c>
      <c r="D220" t="s">
        <v>33</v>
      </c>
      <c r="E220">
        <v>9335.9599999999991</v>
      </c>
      <c r="F220">
        <v>19</v>
      </c>
      <c r="G220" t="s">
        <v>41</v>
      </c>
      <c r="H220">
        <v>1783.48</v>
      </c>
      <c r="I220">
        <v>1931.56</v>
      </c>
      <c r="J220" t="s">
        <v>17</v>
      </c>
      <c r="K220">
        <v>0.27</v>
      </c>
      <c r="L220" t="s">
        <v>27</v>
      </c>
      <c r="M220" t="s">
        <v>28</v>
      </c>
      <c r="N220" t="s">
        <v>45</v>
      </c>
      <c r="O220" s="6">
        <f>SalesMaster[[#This Row],[Sales_Amount]]*SalesMaster[[#This Row],[Quantity_Sold]]</f>
        <v>177383.24</v>
      </c>
      <c r="P220" s="6">
        <f>SalesMaster[[#This Row],[Quantity_Sold]]*SalesMaster[[#This Row],[Unit_Cost]]</f>
        <v>33886.120000000003</v>
      </c>
      <c r="Q220" s="6">
        <f>SalesMaster[[#This Row],[Total_Sales]]-SalesMaster[[#This Row],[Total_Cost]]</f>
        <v>143497.12</v>
      </c>
      <c r="R220" s="1">
        <f>IFERROR(SalesMaster[Net Profit]/SalesMaster[Total_Sales], 0)</f>
        <v>0.80896661939425618</v>
      </c>
      <c r="S220" t="str">
        <f>TEXT(SalesMaster[[#This Row],[Sale_Date]], "mmm")</f>
        <v>Mar</v>
      </c>
      <c r="T220" s="6" t="str">
        <f>IF(SalesMaster[Profit_Margin]&gt;=0.15, "Excellent", IF(SalesMaster[Profit_Margin]&gt;=0.05, "Average", "Needs Improvement"))</f>
        <v>Excellent</v>
      </c>
    </row>
    <row r="221" spans="1:20">
      <c r="A221">
        <v>1030</v>
      </c>
      <c r="B221" s="2">
        <v>45004</v>
      </c>
      <c r="C221" t="s">
        <v>30</v>
      </c>
      <c r="D221" t="s">
        <v>36</v>
      </c>
      <c r="E221">
        <v>1874.63</v>
      </c>
      <c r="F221">
        <v>2</v>
      </c>
      <c r="G221" t="s">
        <v>16</v>
      </c>
      <c r="H221">
        <v>844.94</v>
      </c>
      <c r="I221">
        <v>1225.6400000000001</v>
      </c>
      <c r="J221" t="s">
        <v>17</v>
      </c>
      <c r="K221">
        <v>0.23</v>
      </c>
      <c r="L221" t="s">
        <v>23</v>
      </c>
      <c r="M221" t="s">
        <v>19</v>
      </c>
      <c r="N221" t="s">
        <v>46</v>
      </c>
      <c r="O221" s="6">
        <f>SalesMaster[[#This Row],[Sales_Amount]]*SalesMaster[[#This Row],[Quantity_Sold]]</f>
        <v>3749.26</v>
      </c>
      <c r="P221" s="6">
        <f>SalesMaster[[#This Row],[Quantity_Sold]]*SalesMaster[[#This Row],[Unit_Cost]]</f>
        <v>1689.88</v>
      </c>
      <c r="Q221" s="6">
        <f>SalesMaster[[#This Row],[Total_Sales]]-SalesMaster[[#This Row],[Total_Cost]]</f>
        <v>2059.38</v>
      </c>
      <c r="R221" s="1">
        <f>IFERROR(SalesMaster[Net Profit]/SalesMaster[Total_Sales], 0)</f>
        <v>0.54927639054106681</v>
      </c>
      <c r="S221" t="str">
        <f>TEXT(SalesMaster[[#This Row],[Sale_Date]], "mmm")</f>
        <v>Mar</v>
      </c>
      <c r="T221" s="6" t="str">
        <f>IF(SalesMaster[Profit_Margin]&gt;=0.15, "Excellent", IF(SalesMaster[Profit_Margin]&gt;=0.05, "Average", "Needs Improvement"))</f>
        <v>Excellent</v>
      </c>
    </row>
    <row r="222" spans="1:20">
      <c r="A222">
        <v>1011</v>
      </c>
      <c r="B222" s="2">
        <v>45005</v>
      </c>
      <c r="C222" t="s">
        <v>35</v>
      </c>
      <c r="D222" t="s">
        <v>36</v>
      </c>
      <c r="E222">
        <v>3484.86</v>
      </c>
      <c r="F222">
        <v>2</v>
      </c>
      <c r="G222" t="s">
        <v>26</v>
      </c>
      <c r="H222">
        <v>4906.17</v>
      </c>
      <c r="I222">
        <v>5107.43</v>
      </c>
      <c r="J222" t="s">
        <v>17</v>
      </c>
      <c r="K222">
        <v>0.1</v>
      </c>
      <c r="L222" t="s">
        <v>18</v>
      </c>
      <c r="M222" t="s">
        <v>19</v>
      </c>
      <c r="N222" t="s">
        <v>37</v>
      </c>
      <c r="O222" s="6">
        <f>SalesMaster[[#This Row],[Sales_Amount]]*SalesMaster[[#This Row],[Quantity_Sold]]</f>
        <v>6969.72</v>
      </c>
      <c r="P222" s="6">
        <f>SalesMaster[[#This Row],[Quantity_Sold]]*SalesMaster[[#This Row],[Unit_Cost]]</f>
        <v>9812.34</v>
      </c>
      <c r="Q222" s="6">
        <f>SalesMaster[[#This Row],[Total_Sales]]-SalesMaster[[#This Row],[Total_Cost]]</f>
        <v>-2842.62</v>
      </c>
      <c r="R222" s="1">
        <f>IFERROR(SalesMaster[Net Profit]/SalesMaster[Total_Sales], 0)</f>
        <v>-0.40785282622544372</v>
      </c>
      <c r="S222" t="str">
        <f>TEXT(SalesMaster[[#This Row],[Sale_Date]], "mmm")</f>
        <v>Mar</v>
      </c>
      <c r="T222" s="6" t="str">
        <f>IF(SalesMaster[Profit_Margin]&gt;=0.15, "Excellent", IF(SalesMaster[Profit_Margin]&gt;=0.05, "Average", "Needs Improvement"))</f>
        <v>Needs Improvement</v>
      </c>
    </row>
    <row r="223" spans="1:20">
      <c r="A223">
        <v>1026</v>
      </c>
      <c r="B223" s="2">
        <v>45005</v>
      </c>
      <c r="C223" t="s">
        <v>35</v>
      </c>
      <c r="D223" t="s">
        <v>36</v>
      </c>
      <c r="E223">
        <v>614.69000000000005</v>
      </c>
      <c r="F223">
        <v>19</v>
      </c>
      <c r="G223" t="s">
        <v>31</v>
      </c>
      <c r="H223">
        <v>4991.68</v>
      </c>
      <c r="I223">
        <v>5296.65</v>
      </c>
      <c r="J223" t="s">
        <v>22</v>
      </c>
      <c r="K223">
        <v>0.12</v>
      </c>
      <c r="L223" t="s">
        <v>27</v>
      </c>
      <c r="M223" t="s">
        <v>19</v>
      </c>
      <c r="N223" t="s">
        <v>37</v>
      </c>
      <c r="O223" s="6">
        <f>SalesMaster[[#This Row],[Sales_Amount]]*SalesMaster[[#This Row],[Quantity_Sold]]</f>
        <v>11679.11</v>
      </c>
      <c r="P223" s="6">
        <f>SalesMaster[[#This Row],[Quantity_Sold]]*SalesMaster[[#This Row],[Unit_Cost]]</f>
        <v>94841.920000000013</v>
      </c>
      <c r="Q223" s="6">
        <f>SalesMaster[[#This Row],[Total_Sales]]-SalesMaster[[#This Row],[Total_Cost]]</f>
        <v>-83162.810000000012</v>
      </c>
      <c r="R223" s="1">
        <f>IFERROR(SalesMaster[Net Profit]/SalesMaster[Total_Sales], 0)</f>
        <v>-7.1206461793749698</v>
      </c>
      <c r="S223" t="str">
        <f>TEXT(SalesMaster[[#This Row],[Sale_Date]], "mmm")</f>
        <v>Mar</v>
      </c>
      <c r="T223" s="6" t="str">
        <f>IF(SalesMaster[Profit_Margin]&gt;=0.15, "Excellent", IF(SalesMaster[Profit_Margin]&gt;=0.05, "Average", "Needs Improvement"))</f>
        <v>Needs Improvement</v>
      </c>
    </row>
    <row r="224" spans="1:20">
      <c r="A224">
        <v>1069</v>
      </c>
      <c r="B224" s="2">
        <v>45006</v>
      </c>
      <c r="C224" t="s">
        <v>35</v>
      </c>
      <c r="D224" t="s">
        <v>36</v>
      </c>
      <c r="E224">
        <v>9369.18</v>
      </c>
      <c r="F224">
        <v>29</v>
      </c>
      <c r="G224" t="s">
        <v>26</v>
      </c>
      <c r="H224">
        <v>2462.66</v>
      </c>
      <c r="I224">
        <v>2908.0899999999901</v>
      </c>
      <c r="J224" t="s">
        <v>22</v>
      </c>
      <c r="K224">
        <v>0.12</v>
      </c>
      <c r="L224" t="s">
        <v>23</v>
      </c>
      <c r="M224" t="s">
        <v>19</v>
      </c>
      <c r="N224" t="s">
        <v>37</v>
      </c>
      <c r="O224" s="6">
        <f>SalesMaster[[#This Row],[Sales_Amount]]*SalesMaster[[#This Row],[Quantity_Sold]]</f>
        <v>271706.22000000003</v>
      </c>
      <c r="P224" s="6">
        <f>SalesMaster[[#This Row],[Quantity_Sold]]*SalesMaster[[#This Row],[Unit_Cost]]</f>
        <v>71417.14</v>
      </c>
      <c r="Q224" s="6">
        <f>SalesMaster[[#This Row],[Total_Sales]]-SalesMaster[[#This Row],[Total_Cost]]</f>
        <v>200289.08000000002</v>
      </c>
      <c r="R224" s="1">
        <f>IFERROR(SalesMaster[Net Profit]/SalesMaster[Total_Sales], 0)</f>
        <v>0.73715309130574924</v>
      </c>
      <c r="S224" t="str">
        <f>TEXT(SalesMaster[[#This Row],[Sale_Date]], "mmm")</f>
        <v>Mar</v>
      </c>
      <c r="T224" s="6" t="str">
        <f>IF(SalesMaster[Profit_Margin]&gt;=0.15, "Excellent", IF(SalesMaster[Profit_Margin]&gt;=0.05, "Average", "Needs Improvement"))</f>
        <v>Excellent</v>
      </c>
    </row>
    <row r="225" spans="1:20">
      <c r="A225">
        <v>1084</v>
      </c>
      <c r="B225" s="2">
        <v>45006</v>
      </c>
      <c r="C225" t="s">
        <v>14</v>
      </c>
      <c r="D225" t="s">
        <v>25</v>
      </c>
      <c r="E225">
        <v>3617.67</v>
      </c>
      <c r="F225">
        <v>40</v>
      </c>
      <c r="G225" t="s">
        <v>41</v>
      </c>
      <c r="H225">
        <v>2890.95</v>
      </c>
      <c r="I225">
        <v>3104.43</v>
      </c>
      <c r="J225" t="s">
        <v>22</v>
      </c>
      <c r="K225">
        <v>0.21</v>
      </c>
      <c r="L225" t="s">
        <v>27</v>
      </c>
      <c r="M225" t="s">
        <v>19</v>
      </c>
      <c r="N225" t="s">
        <v>29</v>
      </c>
      <c r="O225" s="6">
        <f>SalesMaster[[#This Row],[Sales_Amount]]*SalesMaster[[#This Row],[Quantity_Sold]]</f>
        <v>144706.79999999999</v>
      </c>
      <c r="P225" s="6">
        <f>SalesMaster[[#This Row],[Quantity_Sold]]*SalesMaster[[#This Row],[Unit_Cost]]</f>
        <v>115638</v>
      </c>
      <c r="Q225" s="6">
        <f>SalesMaster[[#This Row],[Total_Sales]]-SalesMaster[[#This Row],[Total_Cost]]</f>
        <v>29068.799999999988</v>
      </c>
      <c r="R225" s="1">
        <f>IFERROR(SalesMaster[Net Profit]/SalesMaster[Total_Sales], 0)</f>
        <v>0.20088067734204607</v>
      </c>
      <c r="S225" t="str">
        <f>TEXT(SalesMaster[[#This Row],[Sale_Date]], "mmm")</f>
        <v>Mar</v>
      </c>
      <c r="T225" s="6" t="str">
        <f>IF(SalesMaster[Profit_Margin]&gt;=0.15, "Excellent", IF(SalesMaster[Profit_Margin]&gt;=0.05, "Average", "Needs Improvement"))</f>
        <v>Excellent</v>
      </c>
    </row>
    <row r="226" spans="1:20">
      <c r="A226">
        <v>1097</v>
      </c>
      <c r="B226" s="2">
        <v>45007</v>
      </c>
      <c r="C226" t="s">
        <v>14</v>
      </c>
      <c r="D226" t="s">
        <v>15</v>
      </c>
      <c r="E226">
        <v>6747.64</v>
      </c>
      <c r="F226">
        <v>6</v>
      </c>
      <c r="G226" t="s">
        <v>31</v>
      </c>
      <c r="H226">
        <v>4885.9799999999996</v>
      </c>
      <c r="I226">
        <v>4949.95</v>
      </c>
      <c r="J226" t="s">
        <v>17</v>
      </c>
      <c r="K226">
        <v>0.17</v>
      </c>
      <c r="L226" t="s">
        <v>27</v>
      </c>
      <c r="M226" t="s">
        <v>19</v>
      </c>
      <c r="N226" t="s">
        <v>20</v>
      </c>
      <c r="O226" s="6">
        <f>SalesMaster[[#This Row],[Sales_Amount]]*SalesMaster[[#This Row],[Quantity_Sold]]</f>
        <v>40485.840000000004</v>
      </c>
      <c r="P226" s="6">
        <f>SalesMaster[[#This Row],[Quantity_Sold]]*SalesMaster[[#This Row],[Unit_Cost]]</f>
        <v>29315.879999999997</v>
      </c>
      <c r="Q226" s="6">
        <f>SalesMaster[[#This Row],[Total_Sales]]-SalesMaster[[#This Row],[Total_Cost]]</f>
        <v>11169.960000000006</v>
      </c>
      <c r="R226" s="1">
        <f>IFERROR(SalesMaster[Net Profit]/SalesMaster[Total_Sales], 0)</f>
        <v>0.27589794357731012</v>
      </c>
      <c r="S226" t="str">
        <f>TEXT(SalesMaster[[#This Row],[Sale_Date]], "mmm")</f>
        <v>Mar</v>
      </c>
      <c r="T226" s="6" t="str">
        <f>IF(SalesMaster[Profit_Margin]&gt;=0.15, "Excellent", IF(SalesMaster[Profit_Margin]&gt;=0.05, "Average", "Needs Improvement"))</f>
        <v>Excellent</v>
      </c>
    </row>
    <row r="227" spans="1:20">
      <c r="A227">
        <v>1076</v>
      </c>
      <c r="B227" s="2">
        <v>45007</v>
      </c>
      <c r="C227" t="s">
        <v>21</v>
      </c>
      <c r="D227" t="s">
        <v>25</v>
      </c>
      <c r="E227">
        <v>316.94</v>
      </c>
      <c r="F227">
        <v>23</v>
      </c>
      <c r="G227" t="s">
        <v>41</v>
      </c>
      <c r="H227">
        <v>2759.16</v>
      </c>
      <c r="I227">
        <v>2864.45</v>
      </c>
      <c r="J227" t="s">
        <v>17</v>
      </c>
      <c r="K227">
        <v>0.18</v>
      </c>
      <c r="L227" t="s">
        <v>23</v>
      </c>
      <c r="M227" t="s">
        <v>28</v>
      </c>
      <c r="N227" t="s">
        <v>51</v>
      </c>
      <c r="O227" s="6">
        <f>SalesMaster[[#This Row],[Sales_Amount]]*SalesMaster[[#This Row],[Quantity_Sold]]</f>
        <v>7289.62</v>
      </c>
      <c r="P227" s="6">
        <f>SalesMaster[[#This Row],[Quantity_Sold]]*SalesMaster[[#This Row],[Unit_Cost]]</f>
        <v>63460.679999999993</v>
      </c>
      <c r="Q227" s="6">
        <f>SalesMaster[[#This Row],[Total_Sales]]-SalesMaster[[#This Row],[Total_Cost]]</f>
        <v>-56171.05999999999</v>
      </c>
      <c r="R227" s="1">
        <f>IFERROR(SalesMaster[Net Profit]/SalesMaster[Total_Sales], 0)</f>
        <v>-7.7056225153025801</v>
      </c>
      <c r="S227" t="str">
        <f>TEXT(SalesMaster[[#This Row],[Sale_Date]], "mmm")</f>
        <v>Mar</v>
      </c>
      <c r="T227" s="6" t="str">
        <f>IF(SalesMaster[Profit_Margin]&gt;=0.15, "Excellent", IF(SalesMaster[Profit_Margin]&gt;=0.05, "Average", "Needs Improvement"))</f>
        <v>Needs Improvement</v>
      </c>
    </row>
    <row r="228" spans="1:20">
      <c r="A228">
        <v>1061</v>
      </c>
      <c r="B228" s="2">
        <v>45007</v>
      </c>
      <c r="C228" t="s">
        <v>42</v>
      </c>
      <c r="D228" t="s">
        <v>36</v>
      </c>
      <c r="E228">
        <v>8915.0499999999993</v>
      </c>
      <c r="F228">
        <v>34</v>
      </c>
      <c r="G228" t="s">
        <v>16</v>
      </c>
      <c r="H228">
        <v>2680.82</v>
      </c>
      <c r="I228">
        <v>2771.02</v>
      </c>
      <c r="J228" t="s">
        <v>22</v>
      </c>
      <c r="K228">
        <v>0.2</v>
      </c>
      <c r="L228" t="s">
        <v>27</v>
      </c>
      <c r="M228" t="s">
        <v>19</v>
      </c>
      <c r="N228" t="s">
        <v>43</v>
      </c>
      <c r="O228" s="6">
        <f>SalesMaster[[#This Row],[Sales_Amount]]*SalesMaster[[#This Row],[Quantity_Sold]]</f>
        <v>303111.69999999995</v>
      </c>
      <c r="P228" s="6">
        <f>SalesMaster[[#This Row],[Quantity_Sold]]*SalesMaster[[#This Row],[Unit_Cost]]</f>
        <v>91147.88</v>
      </c>
      <c r="Q228" s="6">
        <f>SalesMaster[[#This Row],[Total_Sales]]-SalesMaster[[#This Row],[Total_Cost]]</f>
        <v>211963.81999999995</v>
      </c>
      <c r="R228" s="1">
        <f>IFERROR(SalesMaster[Net Profit]/SalesMaster[Total_Sales], 0)</f>
        <v>0.69929276896932713</v>
      </c>
      <c r="S228" t="str">
        <f>TEXT(SalesMaster[[#This Row],[Sale_Date]], "mmm")</f>
        <v>Mar</v>
      </c>
      <c r="T228" s="6" t="str">
        <f>IF(SalesMaster[Profit_Margin]&gt;=0.15, "Excellent", IF(SalesMaster[Profit_Margin]&gt;=0.05, "Average", "Needs Improvement"))</f>
        <v>Excellent</v>
      </c>
    </row>
    <row r="229" spans="1:20">
      <c r="A229">
        <v>1035</v>
      </c>
      <c r="B229" s="2">
        <v>45008</v>
      </c>
      <c r="C229" t="s">
        <v>30</v>
      </c>
      <c r="D229" t="s">
        <v>36</v>
      </c>
      <c r="E229">
        <v>613.16999999999996</v>
      </c>
      <c r="F229">
        <v>30</v>
      </c>
      <c r="G229" t="s">
        <v>16</v>
      </c>
      <c r="H229">
        <v>1300.03</v>
      </c>
      <c r="I229">
        <v>1745.52</v>
      </c>
      <c r="J229" t="s">
        <v>22</v>
      </c>
      <c r="K229">
        <v>0.09</v>
      </c>
      <c r="L229" t="s">
        <v>18</v>
      </c>
      <c r="M229" t="s">
        <v>28</v>
      </c>
      <c r="N229" t="s">
        <v>46</v>
      </c>
      <c r="O229" s="6">
        <f>SalesMaster[[#This Row],[Sales_Amount]]*SalesMaster[[#This Row],[Quantity_Sold]]</f>
        <v>18395.099999999999</v>
      </c>
      <c r="P229" s="6">
        <f>SalesMaster[[#This Row],[Quantity_Sold]]*SalesMaster[[#This Row],[Unit_Cost]]</f>
        <v>39000.9</v>
      </c>
      <c r="Q229" s="6">
        <f>SalesMaster[[#This Row],[Total_Sales]]-SalesMaster[[#This Row],[Total_Cost]]</f>
        <v>-20605.800000000003</v>
      </c>
      <c r="R229" s="1">
        <f>IFERROR(SalesMaster[Net Profit]/SalesMaster[Total_Sales], 0)</f>
        <v>-1.1201787432522794</v>
      </c>
      <c r="S229" t="str">
        <f>TEXT(SalesMaster[[#This Row],[Sale_Date]], "mmm")</f>
        <v>Mar</v>
      </c>
      <c r="T229" s="6" t="str">
        <f>IF(SalesMaster[Profit_Margin]&gt;=0.15, "Excellent", IF(SalesMaster[Profit_Margin]&gt;=0.05, "Average", "Needs Improvement"))</f>
        <v>Needs Improvement</v>
      </c>
    </row>
    <row r="230" spans="1:20">
      <c r="A230">
        <v>1092</v>
      </c>
      <c r="B230" s="2">
        <v>45008</v>
      </c>
      <c r="C230" t="s">
        <v>35</v>
      </c>
      <c r="D230" t="s">
        <v>25</v>
      </c>
      <c r="E230">
        <v>7914</v>
      </c>
      <c r="F230">
        <v>18</v>
      </c>
      <c r="G230" t="s">
        <v>41</v>
      </c>
      <c r="H230">
        <v>3070.47</v>
      </c>
      <c r="I230">
        <v>3475.29</v>
      </c>
      <c r="J230" t="s">
        <v>17</v>
      </c>
      <c r="K230">
        <v>0.2</v>
      </c>
      <c r="L230" t="s">
        <v>27</v>
      </c>
      <c r="M230" t="s">
        <v>19</v>
      </c>
      <c r="N230" t="s">
        <v>40</v>
      </c>
      <c r="O230" s="6">
        <f>SalesMaster[[#This Row],[Sales_Amount]]*SalesMaster[[#This Row],[Quantity_Sold]]</f>
        <v>142452</v>
      </c>
      <c r="P230" s="6">
        <f>SalesMaster[[#This Row],[Quantity_Sold]]*SalesMaster[[#This Row],[Unit_Cost]]</f>
        <v>55268.46</v>
      </c>
      <c r="Q230" s="6">
        <f>SalesMaster[[#This Row],[Total_Sales]]-SalesMaster[[#This Row],[Total_Cost]]</f>
        <v>87183.540000000008</v>
      </c>
      <c r="R230" s="1">
        <f>IFERROR(SalesMaster[Net Profit]/SalesMaster[Total_Sales], 0)</f>
        <v>0.61202047005307059</v>
      </c>
      <c r="S230" t="str">
        <f>TEXT(SalesMaster[[#This Row],[Sale_Date]], "mmm")</f>
        <v>Mar</v>
      </c>
      <c r="T230" s="6" t="str">
        <f>IF(SalesMaster[Profit_Margin]&gt;=0.15, "Excellent", IF(SalesMaster[Profit_Margin]&gt;=0.05, "Average", "Needs Improvement"))</f>
        <v>Excellent</v>
      </c>
    </row>
    <row r="231" spans="1:20">
      <c r="A231">
        <v>1031</v>
      </c>
      <c r="B231" s="2">
        <v>45008</v>
      </c>
      <c r="C231" t="s">
        <v>14</v>
      </c>
      <c r="D231" t="s">
        <v>36</v>
      </c>
      <c r="E231">
        <v>433.4</v>
      </c>
      <c r="F231">
        <v>32</v>
      </c>
      <c r="G231" t="s">
        <v>16</v>
      </c>
      <c r="H231">
        <v>3351.33</v>
      </c>
      <c r="I231">
        <v>3711.47</v>
      </c>
      <c r="J231" t="s">
        <v>22</v>
      </c>
      <c r="K231">
        <v>0.16</v>
      </c>
      <c r="L231" t="s">
        <v>18</v>
      </c>
      <c r="M231" t="s">
        <v>28</v>
      </c>
      <c r="N231" t="s">
        <v>39</v>
      </c>
      <c r="O231" s="6">
        <f>SalesMaster[[#This Row],[Sales_Amount]]*SalesMaster[[#This Row],[Quantity_Sold]]</f>
        <v>13868.8</v>
      </c>
      <c r="P231" s="6">
        <f>SalesMaster[[#This Row],[Quantity_Sold]]*SalesMaster[[#This Row],[Unit_Cost]]</f>
        <v>107242.56</v>
      </c>
      <c r="Q231" s="6">
        <f>SalesMaster[[#This Row],[Total_Sales]]-SalesMaster[[#This Row],[Total_Cost]]</f>
        <v>-93373.759999999995</v>
      </c>
      <c r="R231" s="1">
        <f>IFERROR(SalesMaster[Net Profit]/SalesMaster[Total_Sales], 0)</f>
        <v>-6.7326488232579607</v>
      </c>
      <c r="S231" t="str">
        <f>TEXT(SalesMaster[[#This Row],[Sale_Date]], "mmm")</f>
        <v>Mar</v>
      </c>
      <c r="T231" s="6" t="str">
        <f>IF(SalesMaster[Profit_Margin]&gt;=0.15, "Excellent", IF(SalesMaster[Profit_Margin]&gt;=0.05, "Average", "Needs Improvement"))</f>
        <v>Needs Improvement</v>
      </c>
    </row>
    <row r="232" spans="1:20">
      <c r="A232">
        <v>1078</v>
      </c>
      <c r="B232" s="2">
        <v>45008</v>
      </c>
      <c r="C232" t="s">
        <v>14</v>
      </c>
      <c r="D232" t="s">
        <v>33</v>
      </c>
      <c r="E232">
        <v>3808.03</v>
      </c>
      <c r="F232">
        <v>33</v>
      </c>
      <c r="G232" t="s">
        <v>16</v>
      </c>
      <c r="H232">
        <v>2396.6799999999998</v>
      </c>
      <c r="I232">
        <v>2661.54</v>
      </c>
      <c r="J232" t="s">
        <v>22</v>
      </c>
      <c r="K232">
        <v>0.18</v>
      </c>
      <c r="L232" t="s">
        <v>27</v>
      </c>
      <c r="M232" t="s">
        <v>19</v>
      </c>
      <c r="N232" t="s">
        <v>45</v>
      </c>
      <c r="O232" s="6">
        <f>SalesMaster[[#This Row],[Sales_Amount]]*SalesMaster[[#This Row],[Quantity_Sold]]</f>
        <v>125664.99</v>
      </c>
      <c r="P232" s="6">
        <f>SalesMaster[[#This Row],[Quantity_Sold]]*SalesMaster[[#This Row],[Unit_Cost]]</f>
        <v>79090.439999999988</v>
      </c>
      <c r="Q232" s="6">
        <f>SalesMaster[[#This Row],[Total_Sales]]-SalesMaster[[#This Row],[Total_Cost]]</f>
        <v>46574.550000000017</v>
      </c>
      <c r="R232" s="1">
        <f>IFERROR(SalesMaster[Net Profit]/SalesMaster[Total_Sales], 0)</f>
        <v>0.37062470621292387</v>
      </c>
      <c r="S232" t="str">
        <f>TEXT(SalesMaster[[#This Row],[Sale_Date]], "mmm")</f>
        <v>Mar</v>
      </c>
      <c r="T232" s="6" t="str">
        <f>IF(SalesMaster[Profit_Margin]&gt;=0.15, "Excellent", IF(SalesMaster[Profit_Margin]&gt;=0.05, "Average", "Needs Improvement"))</f>
        <v>Excellent</v>
      </c>
    </row>
    <row r="233" spans="1:20">
      <c r="A233">
        <v>1061</v>
      </c>
      <c r="B233" s="2">
        <v>45009</v>
      </c>
      <c r="C233" t="s">
        <v>21</v>
      </c>
      <c r="D233" t="s">
        <v>36</v>
      </c>
      <c r="E233">
        <v>3750.2</v>
      </c>
      <c r="F233">
        <v>13</v>
      </c>
      <c r="G233" t="s">
        <v>31</v>
      </c>
      <c r="H233">
        <v>637.37</v>
      </c>
      <c r="I233">
        <v>692.71</v>
      </c>
      <c r="J233" t="s">
        <v>22</v>
      </c>
      <c r="K233">
        <v>0.08</v>
      </c>
      <c r="L233" t="s">
        <v>23</v>
      </c>
      <c r="M233" t="s">
        <v>19</v>
      </c>
      <c r="N233" t="s">
        <v>38</v>
      </c>
      <c r="O233" s="6">
        <f>SalesMaster[[#This Row],[Sales_Amount]]*SalesMaster[[#This Row],[Quantity_Sold]]</f>
        <v>48752.6</v>
      </c>
      <c r="P233" s="6">
        <f>SalesMaster[[#This Row],[Quantity_Sold]]*SalesMaster[[#This Row],[Unit_Cost]]</f>
        <v>8285.81</v>
      </c>
      <c r="Q233" s="6">
        <f>SalesMaster[[#This Row],[Total_Sales]]-SalesMaster[[#This Row],[Total_Cost]]</f>
        <v>40466.79</v>
      </c>
      <c r="R233" s="1">
        <f>IFERROR(SalesMaster[Net Profit]/SalesMaster[Total_Sales], 0)</f>
        <v>0.83004373100101336</v>
      </c>
      <c r="S233" t="str">
        <f>TEXT(SalesMaster[[#This Row],[Sale_Date]], "mmm")</f>
        <v>Mar</v>
      </c>
      <c r="T233" s="6" t="str">
        <f>IF(SalesMaster[Profit_Margin]&gt;=0.15, "Excellent", IF(SalesMaster[Profit_Margin]&gt;=0.05, "Average", "Needs Improvement"))</f>
        <v>Excellent</v>
      </c>
    </row>
    <row r="234" spans="1:20">
      <c r="A234">
        <v>1074</v>
      </c>
      <c r="B234" s="2">
        <v>45010</v>
      </c>
      <c r="C234" t="s">
        <v>14</v>
      </c>
      <c r="D234" t="s">
        <v>33</v>
      </c>
      <c r="E234">
        <v>7499.7</v>
      </c>
      <c r="F234">
        <v>38</v>
      </c>
      <c r="G234" t="s">
        <v>41</v>
      </c>
      <c r="H234">
        <v>2610.6</v>
      </c>
      <c r="I234">
        <v>2836.94</v>
      </c>
      <c r="J234" t="s">
        <v>17</v>
      </c>
      <c r="K234">
        <v>0.19</v>
      </c>
      <c r="L234" t="s">
        <v>23</v>
      </c>
      <c r="M234" t="s">
        <v>19</v>
      </c>
      <c r="N234" t="s">
        <v>45</v>
      </c>
      <c r="O234" s="6">
        <f>SalesMaster[[#This Row],[Sales_Amount]]*SalesMaster[[#This Row],[Quantity_Sold]]</f>
        <v>284988.59999999998</v>
      </c>
      <c r="P234" s="6">
        <f>SalesMaster[[#This Row],[Quantity_Sold]]*SalesMaster[[#This Row],[Unit_Cost]]</f>
        <v>99202.8</v>
      </c>
      <c r="Q234" s="6">
        <f>SalesMaster[[#This Row],[Total_Sales]]-SalesMaster[[#This Row],[Total_Cost]]</f>
        <v>185785.8</v>
      </c>
      <c r="R234" s="1">
        <f>IFERROR(SalesMaster[Net Profit]/SalesMaster[Total_Sales], 0)</f>
        <v>0.65190607624304975</v>
      </c>
      <c r="S234" t="str">
        <f>TEXT(SalesMaster[[#This Row],[Sale_Date]], "mmm")</f>
        <v>Mar</v>
      </c>
      <c r="T234" s="6" t="str">
        <f>IF(SalesMaster[Profit_Margin]&gt;=0.15, "Excellent", IF(SalesMaster[Profit_Margin]&gt;=0.05, "Average", "Needs Improvement"))</f>
        <v>Excellent</v>
      </c>
    </row>
    <row r="235" spans="1:20">
      <c r="A235">
        <v>1092</v>
      </c>
      <c r="B235" s="2">
        <v>45010</v>
      </c>
      <c r="C235" t="s">
        <v>42</v>
      </c>
      <c r="D235" t="s">
        <v>33</v>
      </c>
      <c r="E235">
        <v>1897.98</v>
      </c>
      <c r="F235">
        <v>49</v>
      </c>
      <c r="G235" t="s">
        <v>26</v>
      </c>
      <c r="H235">
        <v>2315</v>
      </c>
      <c r="I235">
        <v>2467.2800000000002</v>
      </c>
      <c r="J235" t="s">
        <v>22</v>
      </c>
      <c r="K235">
        <v>0.15</v>
      </c>
      <c r="L235" t="s">
        <v>27</v>
      </c>
      <c r="M235" t="s">
        <v>28</v>
      </c>
      <c r="N235" t="s">
        <v>50</v>
      </c>
      <c r="O235" s="6">
        <f>SalesMaster[[#This Row],[Sales_Amount]]*SalesMaster[[#This Row],[Quantity_Sold]]</f>
        <v>93001.02</v>
      </c>
      <c r="P235" s="6">
        <f>SalesMaster[[#This Row],[Quantity_Sold]]*SalesMaster[[#This Row],[Unit_Cost]]</f>
        <v>113435</v>
      </c>
      <c r="Q235" s="6">
        <f>SalesMaster[[#This Row],[Total_Sales]]-SalesMaster[[#This Row],[Total_Cost]]</f>
        <v>-20433.979999999996</v>
      </c>
      <c r="R235" s="1">
        <f>IFERROR(SalesMaster[Net Profit]/SalesMaster[Total_Sales], 0)</f>
        <v>-0.21971780524557682</v>
      </c>
      <c r="S235" t="str">
        <f>TEXT(SalesMaster[[#This Row],[Sale_Date]], "mmm")</f>
        <v>Mar</v>
      </c>
      <c r="T235" s="6" t="str">
        <f>IF(SalesMaster[Profit_Margin]&gt;=0.15, "Excellent", IF(SalesMaster[Profit_Margin]&gt;=0.05, "Average", "Needs Improvement"))</f>
        <v>Needs Improvement</v>
      </c>
    </row>
    <row r="236" spans="1:20">
      <c r="A236">
        <v>1055</v>
      </c>
      <c r="B236" s="2">
        <v>45010</v>
      </c>
      <c r="C236" t="s">
        <v>30</v>
      </c>
      <c r="D236" t="s">
        <v>36</v>
      </c>
      <c r="E236">
        <v>1756.83</v>
      </c>
      <c r="F236">
        <v>11</v>
      </c>
      <c r="G236" t="s">
        <v>31</v>
      </c>
      <c r="H236">
        <v>2495.1999999999998</v>
      </c>
      <c r="I236">
        <v>2600.9299999999998</v>
      </c>
      <c r="J236" t="s">
        <v>22</v>
      </c>
      <c r="K236">
        <v>0.21</v>
      </c>
      <c r="L236" t="s">
        <v>27</v>
      </c>
      <c r="M236" t="s">
        <v>28</v>
      </c>
      <c r="N236" t="s">
        <v>46</v>
      </c>
      <c r="O236" s="6">
        <f>SalesMaster[[#This Row],[Sales_Amount]]*SalesMaster[[#This Row],[Quantity_Sold]]</f>
        <v>19325.129999999997</v>
      </c>
      <c r="P236" s="6">
        <f>SalesMaster[[#This Row],[Quantity_Sold]]*SalesMaster[[#This Row],[Unit_Cost]]</f>
        <v>27447.199999999997</v>
      </c>
      <c r="Q236" s="6">
        <f>SalesMaster[[#This Row],[Total_Sales]]-SalesMaster[[#This Row],[Total_Cost]]</f>
        <v>-8122.07</v>
      </c>
      <c r="R236" s="1">
        <f>IFERROR(SalesMaster[Net Profit]/SalesMaster[Total_Sales], 0)</f>
        <v>-0.42028540040869067</v>
      </c>
      <c r="S236" t="str">
        <f>TEXT(SalesMaster[[#This Row],[Sale_Date]], "mmm")</f>
        <v>Mar</v>
      </c>
      <c r="T236" s="6" t="str">
        <f>IF(SalesMaster[Profit_Margin]&gt;=0.15, "Excellent", IF(SalesMaster[Profit_Margin]&gt;=0.05, "Average", "Needs Improvement"))</f>
        <v>Needs Improvement</v>
      </c>
    </row>
    <row r="237" spans="1:20">
      <c r="A237">
        <v>1053</v>
      </c>
      <c r="B237" s="2">
        <v>45010</v>
      </c>
      <c r="C237" t="s">
        <v>35</v>
      </c>
      <c r="D237" t="s">
        <v>36</v>
      </c>
      <c r="E237">
        <v>7080.88</v>
      </c>
      <c r="F237">
        <v>1</v>
      </c>
      <c r="G237" t="s">
        <v>16</v>
      </c>
      <c r="H237">
        <v>1702.82</v>
      </c>
      <c r="I237">
        <v>1862.61</v>
      </c>
      <c r="J237" t="s">
        <v>17</v>
      </c>
      <c r="K237">
        <v>0.24</v>
      </c>
      <c r="L237" t="s">
        <v>18</v>
      </c>
      <c r="M237" t="s">
        <v>28</v>
      </c>
      <c r="N237" t="s">
        <v>37</v>
      </c>
      <c r="O237" s="6">
        <f>SalesMaster[[#This Row],[Sales_Amount]]*SalesMaster[[#This Row],[Quantity_Sold]]</f>
        <v>7080.88</v>
      </c>
      <c r="P237" s="6">
        <f>SalesMaster[[#This Row],[Quantity_Sold]]*SalesMaster[[#This Row],[Unit_Cost]]</f>
        <v>1702.82</v>
      </c>
      <c r="Q237" s="6">
        <f>SalesMaster[[#This Row],[Total_Sales]]-SalesMaster[[#This Row],[Total_Cost]]</f>
        <v>5378.06</v>
      </c>
      <c r="R237" s="1">
        <f>IFERROR(SalesMaster[Net Profit]/SalesMaster[Total_Sales], 0)</f>
        <v>0.7595185909096045</v>
      </c>
      <c r="S237" t="str">
        <f>TEXT(SalesMaster[[#This Row],[Sale_Date]], "mmm")</f>
        <v>Mar</v>
      </c>
      <c r="T237" s="6" t="str">
        <f>IF(SalesMaster[Profit_Margin]&gt;=0.15, "Excellent", IF(SalesMaster[Profit_Margin]&gt;=0.05, "Average", "Needs Improvement"))</f>
        <v>Excellent</v>
      </c>
    </row>
    <row r="238" spans="1:20">
      <c r="A238">
        <v>1005</v>
      </c>
      <c r="B238" s="2">
        <v>45010</v>
      </c>
      <c r="C238" t="s">
        <v>35</v>
      </c>
      <c r="D238" t="s">
        <v>33</v>
      </c>
      <c r="E238">
        <v>7442.25</v>
      </c>
      <c r="F238">
        <v>14</v>
      </c>
      <c r="G238" t="s">
        <v>16</v>
      </c>
      <c r="H238">
        <v>1861.2</v>
      </c>
      <c r="I238">
        <v>2075.35</v>
      </c>
      <c r="J238" t="s">
        <v>17</v>
      </c>
      <c r="K238">
        <v>0.1</v>
      </c>
      <c r="L238" t="s">
        <v>23</v>
      </c>
      <c r="M238" t="s">
        <v>28</v>
      </c>
      <c r="N238" t="s">
        <v>52</v>
      </c>
      <c r="O238" s="6">
        <f>SalesMaster[[#This Row],[Sales_Amount]]*SalesMaster[[#This Row],[Quantity_Sold]]</f>
        <v>104191.5</v>
      </c>
      <c r="P238" s="6">
        <f>SalesMaster[[#This Row],[Quantity_Sold]]*SalesMaster[[#This Row],[Unit_Cost]]</f>
        <v>26056.799999999999</v>
      </c>
      <c r="Q238" s="6">
        <f>SalesMaster[[#This Row],[Total_Sales]]-SalesMaster[[#This Row],[Total_Cost]]</f>
        <v>78134.7</v>
      </c>
      <c r="R238" s="1">
        <f>IFERROR(SalesMaster[Net Profit]/SalesMaster[Total_Sales], 0)</f>
        <v>0.7499143404212435</v>
      </c>
      <c r="S238" t="str">
        <f>TEXT(SalesMaster[[#This Row],[Sale_Date]], "mmm")</f>
        <v>Mar</v>
      </c>
      <c r="T238" s="6" t="str">
        <f>IF(SalesMaster[Profit_Margin]&gt;=0.15, "Excellent", IF(SalesMaster[Profit_Margin]&gt;=0.05, "Average", "Needs Improvement"))</f>
        <v>Excellent</v>
      </c>
    </row>
    <row r="239" spans="1:20">
      <c r="A239">
        <v>1049</v>
      </c>
      <c r="B239" s="2">
        <v>45010</v>
      </c>
      <c r="C239" t="s">
        <v>14</v>
      </c>
      <c r="D239" t="s">
        <v>36</v>
      </c>
      <c r="E239">
        <v>8611.9699999999993</v>
      </c>
      <c r="F239">
        <v>17</v>
      </c>
      <c r="G239" t="s">
        <v>31</v>
      </c>
      <c r="H239">
        <v>558.70000000000005</v>
      </c>
      <c r="I239">
        <v>1004.08</v>
      </c>
      <c r="J239" t="s">
        <v>17</v>
      </c>
      <c r="K239">
        <v>0.03</v>
      </c>
      <c r="L239" t="s">
        <v>23</v>
      </c>
      <c r="M239" t="s">
        <v>19</v>
      </c>
      <c r="N239" t="s">
        <v>39</v>
      </c>
      <c r="O239" s="6">
        <f>SalesMaster[[#This Row],[Sales_Amount]]*SalesMaster[[#This Row],[Quantity_Sold]]</f>
        <v>146403.49</v>
      </c>
      <c r="P239" s="6">
        <f>SalesMaster[[#This Row],[Quantity_Sold]]*SalesMaster[[#This Row],[Unit_Cost]]</f>
        <v>9497.9000000000015</v>
      </c>
      <c r="Q239" s="6">
        <f>SalesMaster[[#This Row],[Total_Sales]]-SalesMaster[[#This Row],[Total_Cost]]</f>
        <v>136905.59</v>
      </c>
      <c r="R239" s="1">
        <f>IFERROR(SalesMaster[Net Profit]/SalesMaster[Total_Sales], 0)</f>
        <v>0.93512518041748871</v>
      </c>
      <c r="S239" t="str">
        <f>TEXT(SalesMaster[[#This Row],[Sale_Date]], "mmm")</f>
        <v>Mar</v>
      </c>
      <c r="T239" s="6" t="str">
        <f>IF(SalesMaster[Profit_Margin]&gt;=0.15, "Excellent", IF(SalesMaster[Profit_Margin]&gt;=0.05, "Average", "Needs Improvement"))</f>
        <v>Excellent</v>
      </c>
    </row>
    <row r="240" spans="1:20">
      <c r="A240">
        <v>1097</v>
      </c>
      <c r="B240" s="2">
        <v>45011</v>
      </c>
      <c r="C240" t="s">
        <v>30</v>
      </c>
      <c r="D240" t="s">
        <v>36</v>
      </c>
      <c r="E240">
        <v>6286.25</v>
      </c>
      <c r="F240">
        <v>7</v>
      </c>
      <c r="G240" t="s">
        <v>16</v>
      </c>
      <c r="H240">
        <v>1896.35</v>
      </c>
      <c r="I240">
        <v>2394.1999999999998</v>
      </c>
      <c r="J240" t="s">
        <v>22</v>
      </c>
      <c r="K240">
        <v>0.22</v>
      </c>
      <c r="L240" t="s">
        <v>27</v>
      </c>
      <c r="M240" t="s">
        <v>19</v>
      </c>
      <c r="N240" t="s">
        <v>46</v>
      </c>
      <c r="O240" s="6">
        <f>SalesMaster[[#This Row],[Sales_Amount]]*SalesMaster[[#This Row],[Quantity_Sold]]</f>
        <v>44003.75</v>
      </c>
      <c r="P240" s="6">
        <f>SalesMaster[[#This Row],[Quantity_Sold]]*SalesMaster[[#This Row],[Unit_Cost]]</f>
        <v>13274.449999999999</v>
      </c>
      <c r="Q240" s="6">
        <f>SalesMaster[[#This Row],[Total_Sales]]-SalesMaster[[#This Row],[Total_Cost]]</f>
        <v>30729.300000000003</v>
      </c>
      <c r="R240" s="1">
        <f>IFERROR(SalesMaster[Net Profit]/SalesMaster[Total_Sales], 0)</f>
        <v>0.69833366474448211</v>
      </c>
      <c r="S240" t="str">
        <f>TEXT(SalesMaster[[#This Row],[Sale_Date]], "mmm")</f>
        <v>Mar</v>
      </c>
      <c r="T240" s="6" t="str">
        <f>IF(SalesMaster[Profit_Margin]&gt;=0.15, "Excellent", IF(SalesMaster[Profit_Margin]&gt;=0.05, "Average", "Needs Improvement"))</f>
        <v>Excellent</v>
      </c>
    </row>
    <row r="241" spans="1:20">
      <c r="A241">
        <v>1096</v>
      </c>
      <c r="B241" s="2">
        <v>45012</v>
      </c>
      <c r="C241" t="s">
        <v>42</v>
      </c>
      <c r="D241" t="s">
        <v>15</v>
      </c>
      <c r="E241">
        <v>4821.3100000000004</v>
      </c>
      <c r="F241">
        <v>48</v>
      </c>
      <c r="G241" t="s">
        <v>16</v>
      </c>
      <c r="H241">
        <v>2449.21</v>
      </c>
      <c r="I241">
        <v>2714.12</v>
      </c>
      <c r="J241" t="s">
        <v>22</v>
      </c>
      <c r="K241">
        <v>0.01</v>
      </c>
      <c r="L241" t="s">
        <v>23</v>
      </c>
      <c r="M241" t="s">
        <v>19</v>
      </c>
      <c r="N241" t="s">
        <v>47</v>
      </c>
      <c r="O241" s="6">
        <f>SalesMaster[[#This Row],[Sales_Amount]]*SalesMaster[[#This Row],[Quantity_Sold]]</f>
        <v>231422.88</v>
      </c>
      <c r="P241" s="6">
        <f>SalesMaster[[#This Row],[Quantity_Sold]]*SalesMaster[[#This Row],[Unit_Cost]]</f>
        <v>117562.08</v>
      </c>
      <c r="Q241" s="6">
        <f>SalesMaster[[#This Row],[Total_Sales]]-SalesMaster[[#This Row],[Total_Cost]]</f>
        <v>113860.8</v>
      </c>
      <c r="R241" s="1">
        <f>IFERROR(SalesMaster[Net Profit]/SalesMaster[Total_Sales], 0)</f>
        <v>0.49200321074562725</v>
      </c>
      <c r="S241" t="str">
        <f>TEXT(SalesMaster[[#This Row],[Sale_Date]], "mmm")</f>
        <v>Mar</v>
      </c>
      <c r="T241" s="6" t="str">
        <f>IF(SalesMaster[Profit_Margin]&gt;=0.15, "Excellent", IF(SalesMaster[Profit_Margin]&gt;=0.05, "Average", "Needs Improvement"))</f>
        <v>Excellent</v>
      </c>
    </row>
    <row r="242" spans="1:20">
      <c r="A242">
        <v>1010</v>
      </c>
      <c r="B242" s="2">
        <v>45012</v>
      </c>
      <c r="C242" t="s">
        <v>14</v>
      </c>
      <c r="D242" t="s">
        <v>25</v>
      </c>
      <c r="E242">
        <v>8159.84</v>
      </c>
      <c r="F242">
        <v>37</v>
      </c>
      <c r="G242" t="s">
        <v>16</v>
      </c>
      <c r="H242">
        <v>4354.92</v>
      </c>
      <c r="I242">
        <v>4495.88</v>
      </c>
      <c r="J242" t="s">
        <v>17</v>
      </c>
      <c r="K242">
        <v>0.01</v>
      </c>
      <c r="L242" t="s">
        <v>27</v>
      </c>
      <c r="M242" t="s">
        <v>19</v>
      </c>
      <c r="N242" t="s">
        <v>29</v>
      </c>
      <c r="O242" s="6">
        <f>SalesMaster[[#This Row],[Sales_Amount]]*SalesMaster[[#This Row],[Quantity_Sold]]</f>
        <v>301914.08</v>
      </c>
      <c r="P242" s="6">
        <f>SalesMaster[[#This Row],[Quantity_Sold]]*SalesMaster[[#This Row],[Unit_Cost]]</f>
        <v>161132.04</v>
      </c>
      <c r="Q242" s="6">
        <f>SalesMaster[[#This Row],[Total_Sales]]-SalesMaster[[#This Row],[Total_Cost]]</f>
        <v>140782.04</v>
      </c>
      <c r="R242" s="1">
        <f>IFERROR(SalesMaster[Net Profit]/SalesMaster[Total_Sales], 0)</f>
        <v>0.46629835879134884</v>
      </c>
      <c r="S242" t="str">
        <f>TEXT(SalesMaster[[#This Row],[Sale_Date]], "mmm")</f>
        <v>Mar</v>
      </c>
      <c r="T242" s="6" t="str">
        <f>IF(SalesMaster[Profit_Margin]&gt;=0.15, "Excellent", IF(SalesMaster[Profit_Margin]&gt;=0.05, "Average", "Needs Improvement"))</f>
        <v>Excellent</v>
      </c>
    </row>
    <row r="243" spans="1:20">
      <c r="A243">
        <v>1069</v>
      </c>
      <c r="B243" s="2">
        <v>45012</v>
      </c>
      <c r="C243" t="s">
        <v>30</v>
      </c>
      <c r="D243" t="s">
        <v>36</v>
      </c>
      <c r="E243">
        <v>719.39</v>
      </c>
      <c r="F243">
        <v>47</v>
      </c>
      <c r="G243" t="s">
        <v>31</v>
      </c>
      <c r="H243">
        <v>4171.83</v>
      </c>
      <c r="I243">
        <v>4320.93</v>
      </c>
      <c r="J243" t="s">
        <v>22</v>
      </c>
      <c r="K243">
        <v>7.0000000000000007E-2</v>
      </c>
      <c r="L243" t="s">
        <v>18</v>
      </c>
      <c r="M243" t="s">
        <v>19</v>
      </c>
      <c r="N243" t="s">
        <v>46</v>
      </c>
      <c r="O243" s="6">
        <f>SalesMaster[[#This Row],[Sales_Amount]]*SalesMaster[[#This Row],[Quantity_Sold]]</f>
        <v>33811.33</v>
      </c>
      <c r="P243" s="6">
        <f>SalesMaster[[#This Row],[Quantity_Sold]]*SalesMaster[[#This Row],[Unit_Cost]]</f>
        <v>196076.01</v>
      </c>
      <c r="Q243" s="6">
        <f>SalesMaster[[#This Row],[Total_Sales]]-SalesMaster[[#This Row],[Total_Cost]]</f>
        <v>-162264.68</v>
      </c>
      <c r="R243" s="1">
        <f>IFERROR(SalesMaster[Net Profit]/SalesMaster[Total_Sales], 0)</f>
        <v>-4.7991214779187921</v>
      </c>
      <c r="S243" t="str">
        <f>TEXT(SalesMaster[[#This Row],[Sale_Date]], "mmm")</f>
        <v>Mar</v>
      </c>
      <c r="T243" s="6" t="str">
        <f>IF(SalesMaster[Profit_Margin]&gt;=0.15, "Excellent", IF(SalesMaster[Profit_Margin]&gt;=0.05, "Average", "Needs Improvement"))</f>
        <v>Needs Improvement</v>
      </c>
    </row>
    <row r="244" spans="1:20">
      <c r="A244">
        <v>1066</v>
      </c>
      <c r="B244" s="2">
        <v>45013</v>
      </c>
      <c r="C244" t="s">
        <v>21</v>
      </c>
      <c r="D244" t="s">
        <v>15</v>
      </c>
      <c r="E244">
        <v>7297.86</v>
      </c>
      <c r="F244">
        <v>7</v>
      </c>
      <c r="G244" t="s">
        <v>16</v>
      </c>
      <c r="H244">
        <v>523.41999999999996</v>
      </c>
      <c r="I244">
        <v>632.43999999999903</v>
      </c>
      <c r="J244" t="s">
        <v>22</v>
      </c>
      <c r="K244">
        <v>0.2</v>
      </c>
      <c r="L244" t="s">
        <v>27</v>
      </c>
      <c r="M244" t="s">
        <v>19</v>
      </c>
      <c r="N244" t="s">
        <v>24</v>
      </c>
      <c r="O244" s="6">
        <f>SalesMaster[[#This Row],[Sales_Amount]]*SalesMaster[[#This Row],[Quantity_Sold]]</f>
        <v>51085.02</v>
      </c>
      <c r="P244" s="6">
        <f>SalesMaster[[#This Row],[Quantity_Sold]]*SalesMaster[[#This Row],[Unit_Cost]]</f>
        <v>3663.9399999999996</v>
      </c>
      <c r="Q244" s="6">
        <f>SalesMaster[[#This Row],[Total_Sales]]-SalesMaster[[#This Row],[Total_Cost]]</f>
        <v>47421.079999999994</v>
      </c>
      <c r="R244" s="1">
        <f>IFERROR(SalesMaster[Net Profit]/SalesMaster[Total_Sales], 0)</f>
        <v>0.92827760466766962</v>
      </c>
      <c r="S244" t="str">
        <f>TEXT(SalesMaster[[#This Row],[Sale_Date]], "mmm")</f>
        <v>Mar</v>
      </c>
      <c r="T244" s="6" t="str">
        <f>IF(SalesMaster[Profit_Margin]&gt;=0.15, "Excellent", IF(SalesMaster[Profit_Margin]&gt;=0.05, "Average", "Needs Improvement"))</f>
        <v>Excellent</v>
      </c>
    </row>
    <row r="245" spans="1:20">
      <c r="A245">
        <v>1045</v>
      </c>
      <c r="B245" s="2">
        <v>45013</v>
      </c>
      <c r="C245" t="s">
        <v>14</v>
      </c>
      <c r="D245" t="s">
        <v>33</v>
      </c>
      <c r="E245">
        <v>6792.66</v>
      </c>
      <c r="F245">
        <v>14</v>
      </c>
      <c r="G245" t="s">
        <v>16</v>
      </c>
      <c r="H245">
        <v>635.28</v>
      </c>
      <c r="I245">
        <v>831.13</v>
      </c>
      <c r="J245" t="s">
        <v>17</v>
      </c>
      <c r="K245">
        <v>0.17</v>
      </c>
      <c r="L245" t="s">
        <v>27</v>
      </c>
      <c r="M245" t="s">
        <v>28</v>
      </c>
      <c r="N245" t="s">
        <v>45</v>
      </c>
      <c r="O245" s="6">
        <f>SalesMaster[[#This Row],[Sales_Amount]]*SalesMaster[[#This Row],[Quantity_Sold]]</f>
        <v>95097.239999999991</v>
      </c>
      <c r="P245" s="6">
        <f>SalesMaster[[#This Row],[Quantity_Sold]]*SalesMaster[[#This Row],[Unit_Cost]]</f>
        <v>8893.92</v>
      </c>
      <c r="Q245" s="6">
        <f>SalesMaster[[#This Row],[Total_Sales]]-SalesMaster[[#This Row],[Total_Cost]]</f>
        <v>86203.319999999992</v>
      </c>
      <c r="R245" s="1">
        <f>IFERROR(SalesMaster[Net Profit]/SalesMaster[Total_Sales], 0)</f>
        <v>0.90647551916333224</v>
      </c>
      <c r="S245" t="str">
        <f>TEXT(SalesMaster[[#This Row],[Sale_Date]], "mmm")</f>
        <v>Mar</v>
      </c>
      <c r="T245" s="6" t="str">
        <f>IF(SalesMaster[Profit_Margin]&gt;=0.15, "Excellent", IF(SalesMaster[Profit_Margin]&gt;=0.05, "Average", "Needs Improvement"))</f>
        <v>Excellent</v>
      </c>
    </row>
    <row r="246" spans="1:20">
      <c r="A246">
        <v>1063</v>
      </c>
      <c r="B246" s="2">
        <v>45013</v>
      </c>
      <c r="C246" t="s">
        <v>21</v>
      </c>
      <c r="D246" t="s">
        <v>25</v>
      </c>
      <c r="E246">
        <v>4947.28</v>
      </c>
      <c r="F246">
        <v>42</v>
      </c>
      <c r="G246" t="s">
        <v>41</v>
      </c>
      <c r="H246">
        <v>1170.07</v>
      </c>
      <c r="I246">
        <v>1669.94999999999</v>
      </c>
      <c r="J246" t="s">
        <v>17</v>
      </c>
      <c r="K246">
        <v>0.12</v>
      </c>
      <c r="L246" t="s">
        <v>27</v>
      </c>
      <c r="M246" t="s">
        <v>28</v>
      </c>
      <c r="N246" t="s">
        <v>51</v>
      </c>
      <c r="O246" s="6">
        <f>SalesMaster[[#This Row],[Sales_Amount]]*SalesMaster[[#This Row],[Quantity_Sold]]</f>
        <v>207785.75999999998</v>
      </c>
      <c r="P246" s="6">
        <f>SalesMaster[[#This Row],[Quantity_Sold]]*SalesMaster[[#This Row],[Unit_Cost]]</f>
        <v>49142.939999999995</v>
      </c>
      <c r="Q246" s="6">
        <f>SalesMaster[[#This Row],[Total_Sales]]-SalesMaster[[#This Row],[Total_Cost]]</f>
        <v>158642.81999999998</v>
      </c>
      <c r="R246" s="1">
        <f>IFERROR(SalesMaster[Net Profit]/SalesMaster[Total_Sales], 0)</f>
        <v>0.76349226241490276</v>
      </c>
      <c r="S246" t="str">
        <f>TEXT(SalesMaster[[#This Row],[Sale_Date]], "mmm")</f>
        <v>Mar</v>
      </c>
      <c r="T246" s="6" t="str">
        <f>IF(SalesMaster[Profit_Margin]&gt;=0.15, "Excellent", IF(SalesMaster[Profit_Margin]&gt;=0.05, "Average", "Needs Improvement"))</f>
        <v>Excellent</v>
      </c>
    </row>
    <row r="247" spans="1:20">
      <c r="A247">
        <v>1022</v>
      </c>
      <c r="B247" s="2">
        <v>45014</v>
      </c>
      <c r="C247" t="s">
        <v>35</v>
      </c>
      <c r="D247" t="s">
        <v>33</v>
      </c>
      <c r="E247">
        <v>8640.14</v>
      </c>
      <c r="F247">
        <v>45</v>
      </c>
      <c r="G247" t="s">
        <v>26</v>
      </c>
      <c r="H247">
        <v>4020.09</v>
      </c>
      <c r="I247">
        <v>4087.91</v>
      </c>
      <c r="J247" t="s">
        <v>17</v>
      </c>
      <c r="K247">
        <v>0.06</v>
      </c>
      <c r="L247" t="s">
        <v>27</v>
      </c>
      <c r="M247" t="s">
        <v>19</v>
      </c>
      <c r="N247" t="s">
        <v>52</v>
      </c>
      <c r="O247" s="6">
        <f>SalesMaster[[#This Row],[Sales_Amount]]*SalesMaster[[#This Row],[Quantity_Sold]]</f>
        <v>388806.3</v>
      </c>
      <c r="P247" s="6">
        <f>SalesMaster[[#This Row],[Quantity_Sold]]*SalesMaster[[#This Row],[Unit_Cost]]</f>
        <v>180904.05000000002</v>
      </c>
      <c r="Q247" s="6">
        <f>SalesMaster[[#This Row],[Total_Sales]]-SalesMaster[[#This Row],[Total_Cost]]</f>
        <v>207902.24999999997</v>
      </c>
      <c r="R247" s="1">
        <f>IFERROR(SalesMaster[Net Profit]/SalesMaster[Total_Sales], 0)</f>
        <v>0.53471934482543104</v>
      </c>
      <c r="S247" t="str">
        <f>TEXT(SalesMaster[[#This Row],[Sale_Date]], "mmm")</f>
        <v>Mar</v>
      </c>
      <c r="T247" s="6" t="str">
        <f>IF(SalesMaster[Profit_Margin]&gt;=0.15, "Excellent", IF(SalesMaster[Profit_Margin]&gt;=0.05, "Average", "Needs Improvement"))</f>
        <v>Excellent</v>
      </c>
    </row>
    <row r="248" spans="1:20">
      <c r="A248">
        <v>1010</v>
      </c>
      <c r="B248" s="2">
        <v>45014</v>
      </c>
      <c r="C248" t="s">
        <v>42</v>
      </c>
      <c r="D248" t="s">
        <v>25</v>
      </c>
      <c r="E248">
        <v>3329.91</v>
      </c>
      <c r="F248">
        <v>49</v>
      </c>
      <c r="G248" t="s">
        <v>41</v>
      </c>
      <c r="H248">
        <v>1150.3</v>
      </c>
      <c r="I248">
        <v>1306.02</v>
      </c>
      <c r="J248" t="s">
        <v>22</v>
      </c>
      <c r="K248">
        <v>0.06</v>
      </c>
      <c r="L248" t="s">
        <v>23</v>
      </c>
      <c r="M248" t="s">
        <v>28</v>
      </c>
      <c r="N248" t="s">
        <v>49</v>
      </c>
      <c r="O248" s="6">
        <f>SalesMaster[[#This Row],[Sales_Amount]]*SalesMaster[[#This Row],[Quantity_Sold]]</f>
        <v>163165.59</v>
      </c>
      <c r="P248" s="6">
        <f>SalesMaster[[#This Row],[Quantity_Sold]]*SalesMaster[[#This Row],[Unit_Cost]]</f>
        <v>56364.7</v>
      </c>
      <c r="Q248" s="6">
        <f>SalesMaster[[#This Row],[Total_Sales]]-SalesMaster[[#This Row],[Total_Cost]]</f>
        <v>106800.89</v>
      </c>
      <c r="R248" s="1">
        <f>IFERROR(SalesMaster[Net Profit]/SalesMaster[Total_Sales], 0)</f>
        <v>0.65455522821938128</v>
      </c>
      <c r="S248" t="str">
        <f>TEXT(SalesMaster[[#This Row],[Sale_Date]], "mmm")</f>
        <v>Mar</v>
      </c>
      <c r="T248" s="6" t="str">
        <f>IF(SalesMaster[Profit_Margin]&gt;=0.15, "Excellent", IF(SalesMaster[Profit_Margin]&gt;=0.05, "Average", "Needs Improvement"))</f>
        <v>Excellent</v>
      </c>
    </row>
    <row r="249" spans="1:20">
      <c r="A249">
        <v>1005</v>
      </c>
      <c r="B249" s="2">
        <v>45015</v>
      </c>
      <c r="C249" t="s">
        <v>42</v>
      </c>
      <c r="D249" t="s">
        <v>36</v>
      </c>
      <c r="E249">
        <v>6828.24</v>
      </c>
      <c r="F249">
        <v>12</v>
      </c>
      <c r="G249" t="s">
        <v>31</v>
      </c>
      <c r="H249">
        <v>319.83</v>
      </c>
      <c r="I249">
        <v>802.43</v>
      </c>
      <c r="J249" t="s">
        <v>22</v>
      </c>
      <c r="K249">
        <v>0.04</v>
      </c>
      <c r="L249" t="s">
        <v>23</v>
      </c>
      <c r="M249" t="s">
        <v>28</v>
      </c>
      <c r="N249" t="s">
        <v>43</v>
      </c>
      <c r="O249" s="6">
        <f>SalesMaster[[#This Row],[Sales_Amount]]*SalesMaster[[#This Row],[Quantity_Sold]]</f>
        <v>81938.880000000005</v>
      </c>
      <c r="P249" s="6">
        <f>SalesMaster[[#This Row],[Quantity_Sold]]*SalesMaster[[#This Row],[Unit_Cost]]</f>
        <v>3837.96</v>
      </c>
      <c r="Q249" s="6">
        <f>SalesMaster[[#This Row],[Total_Sales]]-SalesMaster[[#This Row],[Total_Cost]]</f>
        <v>78100.92</v>
      </c>
      <c r="R249" s="1">
        <f>IFERROR(SalesMaster[Net Profit]/SalesMaster[Total_Sales], 0)</f>
        <v>0.95316069733928499</v>
      </c>
      <c r="S249" t="str">
        <f>TEXT(SalesMaster[[#This Row],[Sale_Date]], "mmm")</f>
        <v>Mar</v>
      </c>
      <c r="T249" s="6" t="str">
        <f>IF(SalesMaster[Profit_Margin]&gt;=0.15, "Excellent", IF(SalesMaster[Profit_Margin]&gt;=0.05, "Average", "Needs Improvement"))</f>
        <v>Excellent</v>
      </c>
    </row>
    <row r="250" spans="1:20">
      <c r="A250">
        <v>1007</v>
      </c>
      <c r="B250" s="2">
        <v>45015</v>
      </c>
      <c r="C250" t="s">
        <v>30</v>
      </c>
      <c r="D250" t="s">
        <v>36</v>
      </c>
      <c r="E250">
        <v>8088.96</v>
      </c>
      <c r="F250">
        <v>14</v>
      </c>
      <c r="G250" t="s">
        <v>26</v>
      </c>
      <c r="H250">
        <v>1122.07</v>
      </c>
      <c r="I250">
        <v>1608.76</v>
      </c>
      <c r="J250" t="s">
        <v>22</v>
      </c>
      <c r="K250">
        <v>0.22</v>
      </c>
      <c r="L250" t="s">
        <v>18</v>
      </c>
      <c r="M250" t="s">
        <v>28</v>
      </c>
      <c r="N250" t="s">
        <v>46</v>
      </c>
      <c r="O250" s="6">
        <f>SalesMaster[[#This Row],[Sales_Amount]]*SalesMaster[[#This Row],[Quantity_Sold]]</f>
        <v>113245.44</v>
      </c>
      <c r="P250" s="6">
        <f>SalesMaster[[#This Row],[Quantity_Sold]]*SalesMaster[[#This Row],[Unit_Cost]]</f>
        <v>15708.98</v>
      </c>
      <c r="Q250" s="6">
        <f>SalesMaster[[#This Row],[Total_Sales]]-SalesMaster[[#This Row],[Total_Cost]]</f>
        <v>97536.46</v>
      </c>
      <c r="R250" s="1">
        <f>IFERROR(SalesMaster[Net Profit]/SalesMaster[Total_Sales], 0)</f>
        <v>0.86128377442835669</v>
      </c>
      <c r="S250" t="str">
        <f>TEXT(SalesMaster[[#This Row],[Sale_Date]], "mmm")</f>
        <v>Mar</v>
      </c>
      <c r="T250" s="6" t="str">
        <f>IF(SalesMaster[Profit_Margin]&gt;=0.15, "Excellent", IF(SalesMaster[Profit_Margin]&gt;=0.05, "Average", "Needs Improvement"))</f>
        <v>Excellent</v>
      </c>
    </row>
    <row r="251" spans="1:20">
      <c r="A251">
        <v>1085</v>
      </c>
      <c r="B251" s="2">
        <v>45015</v>
      </c>
      <c r="C251" t="s">
        <v>30</v>
      </c>
      <c r="D251" t="s">
        <v>33</v>
      </c>
      <c r="E251">
        <v>9278.4</v>
      </c>
      <c r="F251">
        <v>45</v>
      </c>
      <c r="G251" t="s">
        <v>16</v>
      </c>
      <c r="H251">
        <v>4763.1099999999997</v>
      </c>
      <c r="I251">
        <v>5119.91</v>
      </c>
      <c r="J251" t="s">
        <v>17</v>
      </c>
      <c r="K251">
        <v>0.28999999999999998</v>
      </c>
      <c r="L251" t="s">
        <v>18</v>
      </c>
      <c r="M251" t="s">
        <v>28</v>
      </c>
      <c r="N251" t="s">
        <v>34</v>
      </c>
      <c r="O251" s="6">
        <f>SalesMaster[[#This Row],[Sales_Amount]]*SalesMaster[[#This Row],[Quantity_Sold]]</f>
        <v>417528</v>
      </c>
      <c r="P251" s="6">
        <f>SalesMaster[[#This Row],[Quantity_Sold]]*SalesMaster[[#This Row],[Unit_Cost]]</f>
        <v>214339.94999999998</v>
      </c>
      <c r="Q251" s="6">
        <f>SalesMaster[[#This Row],[Total_Sales]]-SalesMaster[[#This Row],[Total_Cost]]</f>
        <v>203188.05000000002</v>
      </c>
      <c r="R251" s="1">
        <f>IFERROR(SalesMaster[Net Profit]/SalesMaster[Total_Sales], 0)</f>
        <v>0.48664532678047945</v>
      </c>
      <c r="S251" t="str">
        <f>TEXT(SalesMaster[[#This Row],[Sale_Date]], "mmm")</f>
        <v>Mar</v>
      </c>
      <c r="T251" s="6" t="str">
        <f>IF(SalesMaster[Profit_Margin]&gt;=0.15, "Excellent", IF(SalesMaster[Profit_Margin]&gt;=0.05, "Average", "Needs Improvement"))</f>
        <v>Excellent</v>
      </c>
    </row>
    <row r="252" spans="1:20">
      <c r="A252">
        <v>1009</v>
      </c>
      <c r="B252" s="2">
        <v>45015</v>
      </c>
      <c r="C252" t="s">
        <v>21</v>
      </c>
      <c r="D252" t="s">
        <v>25</v>
      </c>
      <c r="E252">
        <v>2279.1</v>
      </c>
      <c r="F252">
        <v>10</v>
      </c>
      <c r="G252" t="s">
        <v>16</v>
      </c>
      <c r="H252">
        <v>4364.3500000000004</v>
      </c>
      <c r="I252">
        <v>4710.1000000000004</v>
      </c>
      <c r="J252" t="s">
        <v>22</v>
      </c>
      <c r="K252">
        <v>7.0000000000000007E-2</v>
      </c>
      <c r="L252" t="s">
        <v>23</v>
      </c>
      <c r="M252" t="s">
        <v>19</v>
      </c>
      <c r="N252" t="s">
        <v>51</v>
      </c>
      <c r="O252" s="6">
        <f>SalesMaster[[#This Row],[Sales_Amount]]*SalesMaster[[#This Row],[Quantity_Sold]]</f>
        <v>22791</v>
      </c>
      <c r="P252" s="6">
        <f>SalesMaster[[#This Row],[Quantity_Sold]]*SalesMaster[[#This Row],[Unit_Cost]]</f>
        <v>43643.5</v>
      </c>
      <c r="Q252" s="6">
        <f>SalesMaster[[#This Row],[Total_Sales]]-SalesMaster[[#This Row],[Total_Cost]]</f>
        <v>-20852.5</v>
      </c>
      <c r="R252" s="1">
        <f>IFERROR(SalesMaster[Net Profit]/SalesMaster[Total_Sales], 0)</f>
        <v>-0.91494449563424163</v>
      </c>
      <c r="S252" t="str">
        <f>TEXT(SalesMaster[[#This Row],[Sale_Date]], "mmm")</f>
        <v>Mar</v>
      </c>
      <c r="T252" s="6" t="str">
        <f>IF(SalesMaster[Profit_Margin]&gt;=0.15, "Excellent", IF(SalesMaster[Profit_Margin]&gt;=0.05, "Average", "Needs Improvement"))</f>
        <v>Needs Improvement</v>
      </c>
    </row>
    <row r="253" spans="1:20">
      <c r="A253">
        <v>1047</v>
      </c>
      <c r="B253" s="2">
        <v>45016</v>
      </c>
      <c r="C253" t="s">
        <v>42</v>
      </c>
      <c r="D253" t="s">
        <v>36</v>
      </c>
      <c r="E253">
        <v>3546.15</v>
      </c>
      <c r="F253">
        <v>37</v>
      </c>
      <c r="G253" t="s">
        <v>31</v>
      </c>
      <c r="H253">
        <v>3114.88</v>
      </c>
      <c r="I253">
        <v>3256.78</v>
      </c>
      <c r="J253" t="s">
        <v>17</v>
      </c>
      <c r="K253">
        <v>0.26</v>
      </c>
      <c r="L253" t="s">
        <v>23</v>
      </c>
      <c r="M253" t="s">
        <v>19</v>
      </c>
      <c r="N253" t="s">
        <v>43</v>
      </c>
      <c r="O253" s="6">
        <f>SalesMaster[[#This Row],[Sales_Amount]]*SalesMaster[[#This Row],[Quantity_Sold]]</f>
        <v>131207.55000000002</v>
      </c>
      <c r="P253" s="6">
        <f>SalesMaster[[#This Row],[Quantity_Sold]]*SalesMaster[[#This Row],[Unit_Cost]]</f>
        <v>115250.56</v>
      </c>
      <c r="Q253" s="6">
        <f>SalesMaster[[#This Row],[Total_Sales]]-SalesMaster[[#This Row],[Total_Cost]]</f>
        <v>15956.99000000002</v>
      </c>
      <c r="R253" s="1">
        <f>IFERROR(SalesMaster[Net Profit]/SalesMaster[Total_Sales], 0)</f>
        <v>0.12161640088546748</v>
      </c>
      <c r="S253" t="str">
        <f>TEXT(SalesMaster[[#This Row],[Sale_Date]], "mmm")</f>
        <v>Mar</v>
      </c>
      <c r="T253" s="6" t="str">
        <f>IF(SalesMaster[Profit_Margin]&gt;=0.15, "Excellent", IF(SalesMaster[Profit_Margin]&gt;=0.05, "Average", "Needs Improvement"))</f>
        <v>Average</v>
      </c>
    </row>
    <row r="254" spans="1:20">
      <c r="A254">
        <v>1016</v>
      </c>
      <c r="B254" s="2">
        <v>45016</v>
      </c>
      <c r="C254" t="s">
        <v>14</v>
      </c>
      <c r="D254" t="s">
        <v>36</v>
      </c>
      <c r="E254">
        <v>4309.76</v>
      </c>
      <c r="F254">
        <v>38</v>
      </c>
      <c r="G254" t="s">
        <v>31</v>
      </c>
      <c r="H254">
        <v>3883.38</v>
      </c>
      <c r="I254">
        <v>4152.72</v>
      </c>
      <c r="J254" t="s">
        <v>17</v>
      </c>
      <c r="K254">
        <v>0.26</v>
      </c>
      <c r="L254" t="s">
        <v>18</v>
      </c>
      <c r="M254" t="s">
        <v>19</v>
      </c>
      <c r="N254" t="s">
        <v>39</v>
      </c>
      <c r="O254" s="6">
        <f>SalesMaster[[#This Row],[Sales_Amount]]*SalesMaster[[#This Row],[Quantity_Sold]]</f>
        <v>163770.88</v>
      </c>
      <c r="P254" s="6">
        <f>SalesMaster[[#This Row],[Quantity_Sold]]*SalesMaster[[#This Row],[Unit_Cost]]</f>
        <v>147568.44</v>
      </c>
      <c r="Q254" s="6">
        <f>SalesMaster[[#This Row],[Total_Sales]]-SalesMaster[[#This Row],[Total_Cost]]</f>
        <v>16202.440000000002</v>
      </c>
      <c r="R254" s="1">
        <f>IFERROR(SalesMaster[Net Profit]/SalesMaster[Total_Sales], 0)</f>
        <v>9.8933583308583317E-2</v>
      </c>
      <c r="S254" t="str">
        <f>TEXT(SalesMaster[[#This Row],[Sale_Date]], "mmm")</f>
        <v>Mar</v>
      </c>
      <c r="T254" s="6" t="str">
        <f>IF(SalesMaster[Profit_Margin]&gt;=0.15, "Excellent", IF(SalesMaster[Profit_Margin]&gt;=0.05, "Average", "Needs Improvement"))</f>
        <v>Average</v>
      </c>
    </row>
    <row r="255" spans="1:20">
      <c r="A255">
        <v>1004</v>
      </c>
      <c r="B255" s="2">
        <v>45016</v>
      </c>
      <c r="C255" t="s">
        <v>21</v>
      </c>
      <c r="D255" t="s">
        <v>36</v>
      </c>
      <c r="E255">
        <v>6744.46</v>
      </c>
      <c r="F255">
        <v>12</v>
      </c>
      <c r="G255" t="s">
        <v>16</v>
      </c>
      <c r="H255">
        <v>4553.2299999999996</v>
      </c>
      <c r="I255">
        <v>5038.74</v>
      </c>
      <c r="J255" t="s">
        <v>22</v>
      </c>
      <c r="K255">
        <v>0.09</v>
      </c>
      <c r="L255" t="s">
        <v>23</v>
      </c>
      <c r="M255" t="s">
        <v>28</v>
      </c>
      <c r="N255" t="s">
        <v>38</v>
      </c>
      <c r="O255" s="6">
        <f>SalesMaster[[#This Row],[Sales_Amount]]*SalesMaster[[#This Row],[Quantity_Sold]]</f>
        <v>80933.52</v>
      </c>
      <c r="P255" s="6">
        <f>SalesMaster[[#This Row],[Quantity_Sold]]*SalesMaster[[#This Row],[Unit_Cost]]</f>
        <v>54638.759999999995</v>
      </c>
      <c r="Q255" s="6">
        <f>SalesMaster[[#This Row],[Total_Sales]]-SalesMaster[[#This Row],[Total_Cost]]</f>
        <v>26294.760000000009</v>
      </c>
      <c r="R255" s="1">
        <f>IFERROR(SalesMaster[Net Profit]/SalesMaster[Total_Sales], 0)</f>
        <v>0.32489331985066272</v>
      </c>
      <c r="S255" t="str">
        <f>TEXT(SalesMaster[[#This Row],[Sale_Date]], "mmm")</f>
        <v>Mar</v>
      </c>
      <c r="T255" s="6" t="str">
        <f>IF(SalesMaster[Profit_Margin]&gt;=0.15, "Excellent", IF(SalesMaster[Profit_Margin]&gt;=0.05, "Average", "Needs Improvement"))</f>
        <v>Excellent</v>
      </c>
    </row>
    <row r="256" spans="1:20">
      <c r="A256">
        <v>1025</v>
      </c>
      <c r="B256" s="2">
        <v>45016</v>
      </c>
      <c r="C256" t="s">
        <v>30</v>
      </c>
      <c r="D256" t="s">
        <v>33</v>
      </c>
      <c r="E256">
        <v>4929.5600000000004</v>
      </c>
      <c r="F256">
        <v>4</v>
      </c>
      <c r="G256" t="s">
        <v>26</v>
      </c>
      <c r="H256">
        <v>2751.06</v>
      </c>
      <c r="I256">
        <v>2976.0099999999902</v>
      </c>
      <c r="J256" t="s">
        <v>17</v>
      </c>
      <c r="K256">
        <v>0.28000000000000003</v>
      </c>
      <c r="L256" t="s">
        <v>23</v>
      </c>
      <c r="M256" t="s">
        <v>19</v>
      </c>
      <c r="N256" t="s">
        <v>34</v>
      </c>
      <c r="O256" s="6">
        <f>SalesMaster[[#This Row],[Sales_Amount]]*SalesMaster[[#This Row],[Quantity_Sold]]</f>
        <v>19718.240000000002</v>
      </c>
      <c r="P256" s="6">
        <f>SalesMaster[[#This Row],[Quantity_Sold]]*SalesMaster[[#This Row],[Unit_Cost]]</f>
        <v>11004.24</v>
      </c>
      <c r="Q256" s="6">
        <f>SalesMaster[[#This Row],[Total_Sales]]-SalesMaster[[#This Row],[Total_Cost]]</f>
        <v>8714.0000000000018</v>
      </c>
      <c r="R256" s="1">
        <f>IFERROR(SalesMaster[Net Profit]/SalesMaster[Total_Sales], 0)</f>
        <v>0.44192585139444501</v>
      </c>
      <c r="S256" t="str">
        <f>TEXT(SalesMaster[[#This Row],[Sale_Date]], "mmm")</f>
        <v>Mar</v>
      </c>
      <c r="T256" s="6" t="str">
        <f>IF(SalesMaster[Profit_Margin]&gt;=0.15, "Excellent", IF(SalesMaster[Profit_Margin]&gt;=0.05, "Average", "Needs Improvement"))</f>
        <v>Excellent</v>
      </c>
    </row>
    <row r="257" spans="1:20">
      <c r="A257">
        <v>1059</v>
      </c>
      <c r="B257" s="2">
        <v>45018</v>
      </c>
      <c r="C257" t="s">
        <v>14</v>
      </c>
      <c r="D257" t="s">
        <v>33</v>
      </c>
      <c r="E257">
        <v>3595.2</v>
      </c>
      <c r="F257">
        <v>12</v>
      </c>
      <c r="G257" t="s">
        <v>41</v>
      </c>
      <c r="H257">
        <v>3496.15</v>
      </c>
      <c r="I257">
        <v>3955.75</v>
      </c>
      <c r="J257" t="s">
        <v>17</v>
      </c>
      <c r="K257">
        <v>0.28000000000000003</v>
      </c>
      <c r="L257" t="s">
        <v>18</v>
      </c>
      <c r="M257" t="s">
        <v>28</v>
      </c>
      <c r="N257" t="s">
        <v>45</v>
      </c>
      <c r="O257" s="6">
        <f>SalesMaster[[#This Row],[Sales_Amount]]*SalesMaster[[#This Row],[Quantity_Sold]]</f>
        <v>43142.399999999994</v>
      </c>
      <c r="P257" s="6">
        <f>SalesMaster[[#This Row],[Quantity_Sold]]*SalesMaster[[#This Row],[Unit_Cost]]</f>
        <v>41953.8</v>
      </c>
      <c r="Q257" s="6">
        <f>SalesMaster[[#This Row],[Total_Sales]]-SalesMaster[[#This Row],[Total_Cost]]</f>
        <v>1188.5999999999913</v>
      </c>
      <c r="R257" s="1">
        <f>IFERROR(SalesMaster[Net Profit]/SalesMaster[Total_Sales], 0)</f>
        <v>2.7550623052959303E-2</v>
      </c>
      <c r="S257" t="str">
        <f>TEXT(SalesMaster[[#This Row],[Sale_Date]], "mmm")</f>
        <v>Apr</v>
      </c>
      <c r="T257" s="6" t="str">
        <f>IF(SalesMaster[Profit_Margin]&gt;=0.15, "Excellent", IF(SalesMaster[Profit_Margin]&gt;=0.05, "Average", "Needs Improvement"))</f>
        <v>Needs Improvement</v>
      </c>
    </row>
    <row r="258" spans="1:20">
      <c r="A258">
        <v>1048</v>
      </c>
      <c r="B258" s="2">
        <v>45018</v>
      </c>
      <c r="C258" t="s">
        <v>30</v>
      </c>
      <c r="D258" t="s">
        <v>25</v>
      </c>
      <c r="E258">
        <v>9673.65</v>
      </c>
      <c r="F258">
        <v>45</v>
      </c>
      <c r="G258" t="s">
        <v>31</v>
      </c>
      <c r="H258">
        <v>4262.21</v>
      </c>
      <c r="I258">
        <v>4533.3100000000004</v>
      </c>
      <c r="J258" t="s">
        <v>17</v>
      </c>
      <c r="K258">
        <v>0.27</v>
      </c>
      <c r="L258" t="s">
        <v>23</v>
      </c>
      <c r="M258" t="s">
        <v>19</v>
      </c>
      <c r="N258" t="s">
        <v>32</v>
      </c>
      <c r="O258" s="6">
        <f>SalesMaster[[#This Row],[Sales_Amount]]*SalesMaster[[#This Row],[Quantity_Sold]]</f>
        <v>435314.25</v>
      </c>
      <c r="P258" s="6">
        <f>SalesMaster[[#This Row],[Quantity_Sold]]*SalesMaster[[#This Row],[Unit_Cost]]</f>
        <v>191799.45</v>
      </c>
      <c r="Q258" s="6">
        <f>SalesMaster[[#This Row],[Total_Sales]]-SalesMaster[[#This Row],[Total_Cost]]</f>
        <v>243514.8</v>
      </c>
      <c r="R258" s="1">
        <f>IFERROR(SalesMaster[Net Profit]/SalesMaster[Total_Sales], 0)</f>
        <v>0.55940001964098351</v>
      </c>
      <c r="S258" t="str">
        <f>TEXT(SalesMaster[[#This Row],[Sale_Date]], "mmm")</f>
        <v>Apr</v>
      </c>
      <c r="T258" s="6" t="str">
        <f>IF(SalesMaster[Profit_Margin]&gt;=0.15, "Excellent", IF(SalesMaster[Profit_Margin]&gt;=0.05, "Average", "Needs Improvement"))</f>
        <v>Excellent</v>
      </c>
    </row>
    <row r="259" spans="1:20">
      <c r="A259">
        <v>1062</v>
      </c>
      <c r="B259" s="2">
        <v>45018</v>
      </c>
      <c r="C259" t="s">
        <v>35</v>
      </c>
      <c r="D259" t="s">
        <v>36</v>
      </c>
      <c r="E259">
        <v>6991.95</v>
      </c>
      <c r="F259">
        <v>10</v>
      </c>
      <c r="G259" t="s">
        <v>16</v>
      </c>
      <c r="H259">
        <v>1524.88</v>
      </c>
      <c r="I259">
        <v>1636.14</v>
      </c>
      <c r="J259" t="s">
        <v>22</v>
      </c>
      <c r="K259">
        <v>0.2</v>
      </c>
      <c r="L259" t="s">
        <v>27</v>
      </c>
      <c r="M259" t="s">
        <v>19</v>
      </c>
      <c r="N259" t="s">
        <v>37</v>
      </c>
      <c r="O259" s="6">
        <f>SalesMaster[[#This Row],[Sales_Amount]]*SalesMaster[[#This Row],[Quantity_Sold]]</f>
        <v>69919.5</v>
      </c>
      <c r="P259" s="6">
        <f>SalesMaster[[#This Row],[Quantity_Sold]]*SalesMaster[[#This Row],[Unit_Cost]]</f>
        <v>15248.800000000001</v>
      </c>
      <c r="Q259" s="6">
        <f>SalesMaster[[#This Row],[Total_Sales]]-SalesMaster[[#This Row],[Total_Cost]]</f>
        <v>54670.7</v>
      </c>
      <c r="R259" s="1">
        <f>IFERROR(SalesMaster[Net Profit]/SalesMaster[Total_Sales], 0)</f>
        <v>0.78190919557491112</v>
      </c>
      <c r="S259" t="str">
        <f>TEXT(SalesMaster[[#This Row],[Sale_Date]], "mmm")</f>
        <v>Apr</v>
      </c>
      <c r="T259" s="6" t="str">
        <f>IF(SalesMaster[Profit_Margin]&gt;=0.15, "Excellent", IF(SalesMaster[Profit_Margin]&gt;=0.05, "Average", "Needs Improvement"))</f>
        <v>Excellent</v>
      </c>
    </row>
    <row r="260" spans="1:20">
      <c r="A260">
        <v>1005</v>
      </c>
      <c r="B260" s="2">
        <v>45018</v>
      </c>
      <c r="C260" t="s">
        <v>30</v>
      </c>
      <c r="D260" t="s">
        <v>25</v>
      </c>
      <c r="E260">
        <v>1646.45</v>
      </c>
      <c r="F260">
        <v>46</v>
      </c>
      <c r="G260" t="s">
        <v>26</v>
      </c>
      <c r="H260">
        <v>4691.42</v>
      </c>
      <c r="I260">
        <v>5026.1899999999996</v>
      </c>
      <c r="J260" t="s">
        <v>17</v>
      </c>
      <c r="K260">
        <v>0.22</v>
      </c>
      <c r="L260" t="s">
        <v>27</v>
      </c>
      <c r="M260" t="s">
        <v>28</v>
      </c>
      <c r="N260" t="s">
        <v>32</v>
      </c>
      <c r="O260" s="6">
        <f>SalesMaster[[#This Row],[Sales_Amount]]*SalesMaster[[#This Row],[Quantity_Sold]]</f>
        <v>75736.7</v>
      </c>
      <c r="P260" s="6">
        <f>SalesMaster[[#This Row],[Quantity_Sold]]*SalesMaster[[#This Row],[Unit_Cost]]</f>
        <v>215805.32</v>
      </c>
      <c r="Q260" s="6">
        <f>SalesMaster[[#This Row],[Total_Sales]]-SalesMaster[[#This Row],[Total_Cost]]</f>
        <v>-140068.62</v>
      </c>
      <c r="R260" s="1">
        <f>IFERROR(SalesMaster[Net Profit]/SalesMaster[Total_Sales], 0)</f>
        <v>-1.8494154089100792</v>
      </c>
      <c r="S260" t="str">
        <f>TEXT(SalesMaster[[#This Row],[Sale_Date]], "mmm")</f>
        <v>Apr</v>
      </c>
      <c r="T260" s="6" t="str">
        <f>IF(SalesMaster[Profit_Margin]&gt;=0.15, "Excellent", IF(SalesMaster[Profit_Margin]&gt;=0.05, "Average", "Needs Improvement"))</f>
        <v>Needs Improvement</v>
      </c>
    </row>
    <row r="261" spans="1:20">
      <c r="A261">
        <v>1034</v>
      </c>
      <c r="B261" s="2">
        <v>45018</v>
      </c>
      <c r="C261" t="s">
        <v>21</v>
      </c>
      <c r="D261" t="s">
        <v>33</v>
      </c>
      <c r="E261">
        <v>2184.02</v>
      </c>
      <c r="F261">
        <v>7</v>
      </c>
      <c r="G261" t="s">
        <v>31</v>
      </c>
      <c r="H261">
        <v>2492.36</v>
      </c>
      <c r="I261">
        <v>2738.68</v>
      </c>
      <c r="J261" t="s">
        <v>17</v>
      </c>
      <c r="K261">
        <v>0.11</v>
      </c>
      <c r="L261" t="s">
        <v>18</v>
      </c>
      <c r="M261" t="s">
        <v>19</v>
      </c>
      <c r="N261" t="s">
        <v>48</v>
      </c>
      <c r="O261" s="6">
        <f>SalesMaster[[#This Row],[Sales_Amount]]*SalesMaster[[#This Row],[Quantity_Sold]]</f>
        <v>15288.14</v>
      </c>
      <c r="P261" s="6">
        <f>SalesMaster[[#This Row],[Quantity_Sold]]*SalesMaster[[#This Row],[Unit_Cost]]</f>
        <v>17446.52</v>
      </c>
      <c r="Q261" s="6">
        <f>SalesMaster[[#This Row],[Total_Sales]]-SalesMaster[[#This Row],[Total_Cost]]</f>
        <v>-2158.380000000001</v>
      </c>
      <c r="R261" s="1">
        <f>IFERROR(SalesMaster[Net Profit]/SalesMaster[Total_Sales], 0)</f>
        <v>-0.1411800258239394</v>
      </c>
      <c r="S261" t="str">
        <f>TEXT(SalesMaster[[#This Row],[Sale_Date]], "mmm")</f>
        <v>Apr</v>
      </c>
      <c r="T261" s="6" t="str">
        <f>IF(SalesMaster[Profit_Margin]&gt;=0.15, "Excellent", IF(SalesMaster[Profit_Margin]&gt;=0.05, "Average", "Needs Improvement"))</f>
        <v>Needs Improvement</v>
      </c>
    </row>
    <row r="262" spans="1:20">
      <c r="A262">
        <v>1095</v>
      </c>
      <c r="B262" s="2">
        <v>45019</v>
      </c>
      <c r="C262" t="s">
        <v>21</v>
      </c>
      <c r="D262" t="s">
        <v>36</v>
      </c>
      <c r="E262">
        <v>5873.59</v>
      </c>
      <c r="F262">
        <v>9</v>
      </c>
      <c r="G262" t="s">
        <v>41</v>
      </c>
      <c r="H262">
        <v>2650.95</v>
      </c>
      <c r="I262">
        <v>2860.4199999999901</v>
      </c>
      <c r="J262" t="s">
        <v>22</v>
      </c>
      <c r="K262">
        <v>0.12</v>
      </c>
      <c r="L262" t="s">
        <v>18</v>
      </c>
      <c r="M262" t="s">
        <v>28</v>
      </c>
      <c r="N262" t="s">
        <v>38</v>
      </c>
      <c r="O262" s="6">
        <f>SalesMaster[[#This Row],[Sales_Amount]]*SalesMaster[[#This Row],[Quantity_Sold]]</f>
        <v>52862.31</v>
      </c>
      <c r="P262" s="6">
        <f>SalesMaster[[#This Row],[Quantity_Sold]]*SalesMaster[[#This Row],[Unit_Cost]]</f>
        <v>23858.55</v>
      </c>
      <c r="Q262" s="6">
        <f>SalesMaster[[#This Row],[Total_Sales]]-SalesMaster[[#This Row],[Total_Cost]]</f>
        <v>29003.759999999998</v>
      </c>
      <c r="R262" s="1">
        <f>IFERROR(SalesMaster[Net Profit]/SalesMaster[Total_Sales], 0)</f>
        <v>0.54866614796061697</v>
      </c>
      <c r="S262" t="str">
        <f>TEXT(SalesMaster[[#This Row],[Sale_Date]], "mmm")</f>
        <v>Apr</v>
      </c>
      <c r="T262" s="6" t="str">
        <f>IF(SalesMaster[Profit_Margin]&gt;=0.15, "Excellent", IF(SalesMaster[Profit_Margin]&gt;=0.05, "Average", "Needs Improvement"))</f>
        <v>Excellent</v>
      </c>
    </row>
    <row r="263" spans="1:20">
      <c r="A263">
        <v>1099</v>
      </c>
      <c r="B263" s="2">
        <v>45019</v>
      </c>
      <c r="C263" t="s">
        <v>42</v>
      </c>
      <c r="D263" t="s">
        <v>15</v>
      </c>
      <c r="E263">
        <v>2571.7199999999998</v>
      </c>
      <c r="F263">
        <v>30</v>
      </c>
      <c r="G263" t="s">
        <v>26</v>
      </c>
      <c r="H263">
        <v>4495.82</v>
      </c>
      <c r="I263">
        <v>4794.0099999999902</v>
      </c>
      <c r="J263" t="s">
        <v>22</v>
      </c>
      <c r="K263">
        <v>0.18</v>
      </c>
      <c r="L263" t="s">
        <v>27</v>
      </c>
      <c r="M263" t="s">
        <v>28</v>
      </c>
      <c r="N263" t="s">
        <v>47</v>
      </c>
      <c r="O263" s="6">
        <f>SalesMaster[[#This Row],[Sales_Amount]]*SalesMaster[[#This Row],[Quantity_Sold]]</f>
        <v>77151.599999999991</v>
      </c>
      <c r="P263" s="6">
        <f>SalesMaster[[#This Row],[Quantity_Sold]]*SalesMaster[[#This Row],[Unit_Cost]]</f>
        <v>134874.59999999998</v>
      </c>
      <c r="Q263" s="6">
        <f>SalesMaster[[#This Row],[Total_Sales]]-SalesMaster[[#This Row],[Total_Cost]]</f>
        <v>-57722.999999999985</v>
      </c>
      <c r="R263" s="1">
        <f>IFERROR(SalesMaster[Net Profit]/SalesMaster[Total_Sales], 0)</f>
        <v>-0.74817631779509419</v>
      </c>
      <c r="S263" t="str">
        <f>TEXT(SalesMaster[[#This Row],[Sale_Date]], "mmm")</f>
        <v>Apr</v>
      </c>
      <c r="T263" s="6" t="str">
        <f>IF(SalesMaster[Profit_Margin]&gt;=0.15, "Excellent", IF(SalesMaster[Profit_Margin]&gt;=0.05, "Average", "Needs Improvement"))</f>
        <v>Needs Improvement</v>
      </c>
    </row>
    <row r="264" spans="1:20">
      <c r="A264">
        <v>1051</v>
      </c>
      <c r="B264" s="2">
        <v>45020</v>
      </c>
      <c r="C264" t="s">
        <v>35</v>
      </c>
      <c r="D264" t="s">
        <v>36</v>
      </c>
      <c r="E264">
        <v>198.25</v>
      </c>
      <c r="F264">
        <v>12</v>
      </c>
      <c r="G264" t="s">
        <v>31</v>
      </c>
      <c r="H264">
        <v>3544.48</v>
      </c>
      <c r="I264">
        <v>3723.66</v>
      </c>
      <c r="J264" t="s">
        <v>17</v>
      </c>
      <c r="K264">
        <v>0.19</v>
      </c>
      <c r="L264" t="s">
        <v>18</v>
      </c>
      <c r="M264" t="s">
        <v>19</v>
      </c>
      <c r="N264" t="s">
        <v>37</v>
      </c>
      <c r="O264" s="6">
        <f>SalesMaster[[#This Row],[Sales_Amount]]*SalesMaster[[#This Row],[Quantity_Sold]]</f>
        <v>2379</v>
      </c>
      <c r="P264" s="6">
        <f>SalesMaster[[#This Row],[Quantity_Sold]]*SalesMaster[[#This Row],[Unit_Cost]]</f>
        <v>42533.760000000002</v>
      </c>
      <c r="Q264" s="6">
        <f>SalesMaster[[#This Row],[Total_Sales]]-SalesMaster[[#This Row],[Total_Cost]]</f>
        <v>-40154.76</v>
      </c>
      <c r="R264" s="1">
        <f>IFERROR(SalesMaster[Net Profit]/SalesMaster[Total_Sales], 0)</f>
        <v>-16.878839848675916</v>
      </c>
      <c r="S264" t="str">
        <f>TEXT(SalesMaster[[#This Row],[Sale_Date]], "mmm")</f>
        <v>Apr</v>
      </c>
      <c r="T264" s="6" t="str">
        <f>IF(SalesMaster[Profit_Margin]&gt;=0.15, "Excellent", IF(SalesMaster[Profit_Margin]&gt;=0.05, "Average", "Needs Improvement"))</f>
        <v>Needs Improvement</v>
      </c>
    </row>
    <row r="265" spans="1:20">
      <c r="A265">
        <v>1078</v>
      </c>
      <c r="B265" s="2">
        <v>45020</v>
      </c>
      <c r="C265" t="s">
        <v>30</v>
      </c>
      <c r="D265" t="s">
        <v>36</v>
      </c>
      <c r="E265">
        <v>9631.41</v>
      </c>
      <c r="F265">
        <v>49</v>
      </c>
      <c r="G265" t="s">
        <v>26</v>
      </c>
      <c r="H265">
        <v>1833.95</v>
      </c>
      <c r="I265">
        <v>2147.14</v>
      </c>
      <c r="J265" t="s">
        <v>17</v>
      </c>
      <c r="K265">
        <v>0.18</v>
      </c>
      <c r="L265" t="s">
        <v>23</v>
      </c>
      <c r="M265" t="s">
        <v>28</v>
      </c>
      <c r="N265" t="s">
        <v>46</v>
      </c>
      <c r="O265" s="6">
        <f>SalesMaster[[#This Row],[Sales_Amount]]*SalesMaster[[#This Row],[Quantity_Sold]]</f>
        <v>471939.08999999997</v>
      </c>
      <c r="P265" s="6">
        <f>SalesMaster[[#This Row],[Quantity_Sold]]*SalesMaster[[#This Row],[Unit_Cost]]</f>
        <v>89863.55</v>
      </c>
      <c r="Q265" s="6">
        <f>SalesMaster[[#This Row],[Total_Sales]]-SalesMaster[[#This Row],[Total_Cost]]</f>
        <v>382075.54</v>
      </c>
      <c r="R265" s="1">
        <f>IFERROR(SalesMaster[Net Profit]/SalesMaster[Total_Sales], 0)</f>
        <v>0.80958655067118934</v>
      </c>
      <c r="S265" t="str">
        <f>TEXT(SalesMaster[[#This Row],[Sale_Date]], "mmm")</f>
        <v>Apr</v>
      </c>
      <c r="T265" s="6" t="str">
        <f>IF(SalesMaster[Profit_Margin]&gt;=0.15, "Excellent", IF(SalesMaster[Profit_Margin]&gt;=0.05, "Average", "Needs Improvement"))</f>
        <v>Excellent</v>
      </c>
    </row>
    <row r="266" spans="1:20">
      <c r="A266">
        <v>1058</v>
      </c>
      <c r="B266" s="2">
        <v>45021</v>
      </c>
      <c r="C266" t="s">
        <v>42</v>
      </c>
      <c r="D266" t="s">
        <v>15</v>
      </c>
      <c r="E266">
        <v>2072.23</v>
      </c>
      <c r="F266">
        <v>33</v>
      </c>
      <c r="G266" t="s">
        <v>26</v>
      </c>
      <c r="H266">
        <v>1011.65</v>
      </c>
      <c r="I266">
        <v>1084.28</v>
      </c>
      <c r="J266" t="s">
        <v>17</v>
      </c>
      <c r="K266">
        <v>7.0000000000000007E-2</v>
      </c>
      <c r="L266" t="s">
        <v>27</v>
      </c>
      <c r="M266" t="s">
        <v>28</v>
      </c>
      <c r="N266" t="s">
        <v>47</v>
      </c>
      <c r="O266" s="6">
        <f>SalesMaster[[#This Row],[Sales_Amount]]*SalesMaster[[#This Row],[Quantity_Sold]]</f>
        <v>68383.59</v>
      </c>
      <c r="P266" s="6">
        <f>SalesMaster[[#This Row],[Quantity_Sold]]*SalesMaster[[#This Row],[Unit_Cost]]</f>
        <v>33384.449999999997</v>
      </c>
      <c r="Q266" s="6">
        <f>SalesMaster[[#This Row],[Total_Sales]]-SalesMaster[[#This Row],[Total_Cost]]</f>
        <v>34999.14</v>
      </c>
      <c r="R266" s="1">
        <f>IFERROR(SalesMaster[Net Profit]/SalesMaster[Total_Sales], 0)</f>
        <v>0.51180612190731722</v>
      </c>
      <c r="S266" t="str">
        <f>TEXT(SalesMaster[[#This Row],[Sale_Date]], "mmm")</f>
        <v>Apr</v>
      </c>
      <c r="T266" s="6" t="str">
        <f>IF(SalesMaster[Profit_Margin]&gt;=0.15, "Excellent", IF(SalesMaster[Profit_Margin]&gt;=0.05, "Average", "Needs Improvement"))</f>
        <v>Excellent</v>
      </c>
    </row>
    <row r="267" spans="1:20">
      <c r="A267">
        <v>1087</v>
      </c>
      <c r="B267" s="2">
        <v>45021</v>
      </c>
      <c r="C267" t="s">
        <v>14</v>
      </c>
      <c r="D267" t="s">
        <v>36</v>
      </c>
      <c r="E267">
        <v>848.49</v>
      </c>
      <c r="F267">
        <v>43</v>
      </c>
      <c r="G267" t="s">
        <v>26</v>
      </c>
      <c r="H267">
        <v>481</v>
      </c>
      <c r="I267">
        <v>531.02</v>
      </c>
      <c r="J267" t="s">
        <v>22</v>
      </c>
      <c r="K267">
        <v>0.17</v>
      </c>
      <c r="L267" t="s">
        <v>18</v>
      </c>
      <c r="M267" t="s">
        <v>19</v>
      </c>
      <c r="N267" t="s">
        <v>39</v>
      </c>
      <c r="O267" s="6">
        <f>SalesMaster[[#This Row],[Sales_Amount]]*SalesMaster[[#This Row],[Quantity_Sold]]</f>
        <v>36485.07</v>
      </c>
      <c r="P267" s="6">
        <f>SalesMaster[[#This Row],[Quantity_Sold]]*SalesMaster[[#This Row],[Unit_Cost]]</f>
        <v>20683</v>
      </c>
      <c r="Q267" s="6">
        <f>SalesMaster[[#This Row],[Total_Sales]]-SalesMaster[[#This Row],[Total_Cost]]</f>
        <v>15802.07</v>
      </c>
      <c r="R267" s="1">
        <f>IFERROR(SalesMaster[Net Profit]/SalesMaster[Total_Sales], 0)</f>
        <v>0.43311058468573582</v>
      </c>
      <c r="S267" t="str">
        <f>TEXT(SalesMaster[[#This Row],[Sale_Date]], "mmm")</f>
        <v>Apr</v>
      </c>
      <c r="T267" s="6" t="str">
        <f>IF(SalesMaster[Profit_Margin]&gt;=0.15, "Excellent", IF(SalesMaster[Profit_Margin]&gt;=0.05, "Average", "Needs Improvement"))</f>
        <v>Excellent</v>
      </c>
    </row>
    <row r="268" spans="1:20">
      <c r="A268">
        <v>1062</v>
      </c>
      <c r="B268" s="2">
        <v>45021</v>
      </c>
      <c r="C268" t="s">
        <v>35</v>
      </c>
      <c r="D268" t="s">
        <v>15</v>
      </c>
      <c r="E268">
        <v>2959.96</v>
      </c>
      <c r="F268">
        <v>48</v>
      </c>
      <c r="G268" t="s">
        <v>41</v>
      </c>
      <c r="H268">
        <v>2487.19</v>
      </c>
      <c r="I268">
        <v>2521.4499999999998</v>
      </c>
      <c r="J268" t="s">
        <v>22</v>
      </c>
      <c r="K268">
        <v>0.28999999999999998</v>
      </c>
      <c r="L268" t="s">
        <v>18</v>
      </c>
      <c r="M268" t="s">
        <v>19</v>
      </c>
      <c r="N268" t="s">
        <v>44</v>
      </c>
      <c r="O268" s="6">
        <f>SalesMaster[[#This Row],[Sales_Amount]]*SalesMaster[[#This Row],[Quantity_Sold]]</f>
        <v>142078.08000000002</v>
      </c>
      <c r="P268" s="6">
        <f>SalesMaster[[#This Row],[Quantity_Sold]]*SalesMaster[[#This Row],[Unit_Cost]]</f>
        <v>119385.12</v>
      </c>
      <c r="Q268" s="6">
        <f>SalesMaster[[#This Row],[Total_Sales]]-SalesMaster[[#This Row],[Total_Cost]]</f>
        <v>22692.960000000021</v>
      </c>
      <c r="R268" s="1">
        <f>IFERROR(SalesMaster[Net Profit]/SalesMaster[Total_Sales], 0)</f>
        <v>0.15972175299666225</v>
      </c>
      <c r="S268" t="str">
        <f>TEXT(SalesMaster[[#This Row],[Sale_Date]], "mmm")</f>
        <v>Apr</v>
      </c>
      <c r="T268" s="6" t="str">
        <f>IF(SalesMaster[Profit_Margin]&gt;=0.15, "Excellent", IF(SalesMaster[Profit_Margin]&gt;=0.05, "Average", "Needs Improvement"))</f>
        <v>Excellent</v>
      </c>
    </row>
    <row r="269" spans="1:20">
      <c r="A269">
        <v>1052</v>
      </c>
      <c r="B269" s="2">
        <v>45021</v>
      </c>
      <c r="C269" t="s">
        <v>21</v>
      </c>
      <c r="D269" t="s">
        <v>25</v>
      </c>
      <c r="E269">
        <v>4744.16</v>
      </c>
      <c r="F269">
        <v>26</v>
      </c>
      <c r="G269" t="s">
        <v>16</v>
      </c>
      <c r="H269">
        <v>4771.99</v>
      </c>
      <c r="I269">
        <v>5079.6499999999996</v>
      </c>
      <c r="J269" t="s">
        <v>22</v>
      </c>
      <c r="K269">
        <v>0.28999999999999998</v>
      </c>
      <c r="L269" t="s">
        <v>23</v>
      </c>
      <c r="M269" t="s">
        <v>19</v>
      </c>
      <c r="N269" t="s">
        <v>51</v>
      </c>
      <c r="O269" s="6">
        <f>SalesMaster[[#This Row],[Sales_Amount]]*SalesMaster[[#This Row],[Quantity_Sold]]</f>
        <v>123348.16</v>
      </c>
      <c r="P269" s="6">
        <f>SalesMaster[[#This Row],[Quantity_Sold]]*SalesMaster[[#This Row],[Unit_Cost]]</f>
        <v>124071.73999999999</v>
      </c>
      <c r="Q269" s="6">
        <f>SalesMaster[[#This Row],[Total_Sales]]-SalesMaster[[#This Row],[Total_Cost]]</f>
        <v>-723.57999999998719</v>
      </c>
      <c r="R269" s="1">
        <f>IFERROR(SalesMaster[Net Profit]/SalesMaster[Total_Sales], 0)</f>
        <v>-5.8661596573470346E-3</v>
      </c>
      <c r="S269" t="str">
        <f>TEXT(SalesMaster[[#This Row],[Sale_Date]], "mmm")</f>
        <v>Apr</v>
      </c>
      <c r="T269" s="6" t="str">
        <f>IF(SalesMaster[Profit_Margin]&gt;=0.15, "Excellent", IF(SalesMaster[Profit_Margin]&gt;=0.05, "Average", "Needs Improvement"))</f>
        <v>Needs Improvement</v>
      </c>
    </row>
    <row r="270" spans="1:20">
      <c r="A270">
        <v>1086</v>
      </c>
      <c r="B270" s="2">
        <v>45022</v>
      </c>
      <c r="C270" t="s">
        <v>21</v>
      </c>
      <c r="D270" t="s">
        <v>33</v>
      </c>
      <c r="E270">
        <v>7212.69</v>
      </c>
      <c r="F270">
        <v>32</v>
      </c>
      <c r="G270" t="s">
        <v>31</v>
      </c>
      <c r="H270">
        <v>3743.59</v>
      </c>
      <c r="I270">
        <v>4116.38</v>
      </c>
      <c r="J270" t="s">
        <v>17</v>
      </c>
      <c r="K270">
        <v>0.11</v>
      </c>
      <c r="L270" t="s">
        <v>18</v>
      </c>
      <c r="M270" t="s">
        <v>19</v>
      </c>
      <c r="N270" t="s">
        <v>48</v>
      </c>
      <c r="O270" s="6">
        <f>SalesMaster[[#This Row],[Sales_Amount]]*SalesMaster[[#This Row],[Quantity_Sold]]</f>
        <v>230806.08</v>
      </c>
      <c r="P270" s="6">
        <f>SalesMaster[[#This Row],[Quantity_Sold]]*SalesMaster[[#This Row],[Unit_Cost]]</f>
        <v>119794.88</v>
      </c>
      <c r="Q270" s="6">
        <f>SalesMaster[[#This Row],[Total_Sales]]-SalesMaster[[#This Row],[Total_Cost]]</f>
        <v>111011.19999999998</v>
      </c>
      <c r="R270" s="1">
        <f>IFERROR(SalesMaster[Net Profit]/SalesMaster[Total_Sales], 0)</f>
        <v>0.4809717317672047</v>
      </c>
      <c r="S270" t="str">
        <f>TEXT(SalesMaster[[#This Row],[Sale_Date]], "mmm")</f>
        <v>Apr</v>
      </c>
      <c r="T270" s="6" t="str">
        <f>IF(SalesMaster[Profit_Margin]&gt;=0.15, "Excellent", IF(SalesMaster[Profit_Margin]&gt;=0.05, "Average", "Needs Improvement"))</f>
        <v>Excellent</v>
      </c>
    </row>
    <row r="271" spans="1:20">
      <c r="A271">
        <v>1026</v>
      </c>
      <c r="B271" s="2">
        <v>45022</v>
      </c>
      <c r="C271" t="s">
        <v>35</v>
      </c>
      <c r="D271" t="s">
        <v>25</v>
      </c>
      <c r="E271">
        <v>927.19</v>
      </c>
      <c r="F271">
        <v>4</v>
      </c>
      <c r="G271" t="s">
        <v>31</v>
      </c>
      <c r="H271">
        <v>3993.39</v>
      </c>
      <c r="I271">
        <v>4288.3</v>
      </c>
      <c r="J271" t="s">
        <v>22</v>
      </c>
      <c r="K271">
        <v>0.13</v>
      </c>
      <c r="L271" t="s">
        <v>23</v>
      </c>
      <c r="M271" t="s">
        <v>19</v>
      </c>
      <c r="N271" t="s">
        <v>40</v>
      </c>
      <c r="O271" s="6">
        <f>SalesMaster[[#This Row],[Sales_Amount]]*SalesMaster[[#This Row],[Quantity_Sold]]</f>
        <v>3708.76</v>
      </c>
      <c r="P271" s="6">
        <f>SalesMaster[[#This Row],[Quantity_Sold]]*SalesMaster[[#This Row],[Unit_Cost]]</f>
        <v>15973.56</v>
      </c>
      <c r="Q271" s="6">
        <f>SalesMaster[[#This Row],[Total_Sales]]-SalesMaster[[#This Row],[Total_Cost]]</f>
        <v>-12264.8</v>
      </c>
      <c r="R271" s="1">
        <f>IFERROR(SalesMaster[Net Profit]/SalesMaster[Total_Sales], 0)</f>
        <v>-3.3069813091167934</v>
      </c>
      <c r="S271" t="str">
        <f>TEXT(SalesMaster[[#This Row],[Sale_Date]], "mmm")</f>
        <v>Apr</v>
      </c>
      <c r="T271" s="6" t="str">
        <f>IF(SalesMaster[Profit_Margin]&gt;=0.15, "Excellent", IF(SalesMaster[Profit_Margin]&gt;=0.05, "Average", "Needs Improvement"))</f>
        <v>Needs Improvement</v>
      </c>
    </row>
    <row r="272" spans="1:20">
      <c r="A272">
        <v>1068</v>
      </c>
      <c r="B272" s="2">
        <v>45022</v>
      </c>
      <c r="C272" t="s">
        <v>42</v>
      </c>
      <c r="D272" t="s">
        <v>25</v>
      </c>
      <c r="E272">
        <v>9093.5</v>
      </c>
      <c r="F272">
        <v>31</v>
      </c>
      <c r="G272" t="s">
        <v>16</v>
      </c>
      <c r="H272">
        <v>3169.37</v>
      </c>
      <c r="I272">
        <v>3304.15</v>
      </c>
      <c r="J272" t="s">
        <v>17</v>
      </c>
      <c r="K272">
        <v>0.25</v>
      </c>
      <c r="L272" t="s">
        <v>23</v>
      </c>
      <c r="M272" t="s">
        <v>28</v>
      </c>
      <c r="N272" t="s">
        <v>49</v>
      </c>
      <c r="O272" s="6">
        <f>SalesMaster[[#This Row],[Sales_Amount]]*SalesMaster[[#This Row],[Quantity_Sold]]</f>
        <v>281898.5</v>
      </c>
      <c r="P272" s="6">
        <f>SalesMaster[[#This Row],[Quantity_Sold]]*SalesMaster[[#This Row],[Unit_Cost]]</f>
        <v>98250.47</v>
      </c>
      <c r="Q272" s="6">
        <f>SalesMaster[[#This Row],[Total_Sales]]-SalesMaster[[#This Row],[Total_Cost]]</f>
        <v>183648.03</v>
      </c>
      <c r="R272" s="1">
        <f>IFERROR(SalesMaster[Net Profit]/SalesMaster[Total_Sales], 0)</f>
        <v>0.65146863144003964</v>
      </c>
      <c r="S272" t="str">
        <f>TEXT(SalesMaster[[#This Row],[Sale_Date]], "mmm")</f>
        <v>Apr</v>
      </c>
      <c r="T272" s="6" t="str">
        <f>IF(SalesMaster[Profit_Margin]&gt;=0.15, "Excellent", IF(SalesMaster[Profit_Margin]&gt;=0.05, "Average", "Needs Improvement"))</f>
        <v>Excellent</v>
      </c>
    </row>
    <row r="273" spans="1:20">
      <c r="A273">
        <v>1051</v>
      </c>
      <c r="B273" s="2">
        <v>45023</v>
      </c>
      <c r="C273" t="s">
        <v>42</v>
      </c>
      <c r="D273" t="s">
        <v>33</v>
      </c>
      <c r="E273">
        <v>5262.45</v>
      </c>
      <c r="F273">
        <v>23</v>
      </c>
      <c r="G273" t="s">
        <v>31</v>
      </c>
      <c r="H273">
        <v>3325.43</v>
      </c>
      <c r="I273">
        <v>3401.1</v>
      </c>
      <c r="J273" t="s">
        <v>22</v>
      </c>
      <c r="K273">
        <v>0.1</v>
      </c>
      <c r="L273" t="s">
        <v>18</v>
      </c>
      <c r="M273" t="s">
        <v>19</v>
      </c>
      <c r="N273" t="s">
        <v>50</v>
      </c>
      <c r="O273" s="6">
        <f>SalesMaster[[#This Row],[Sales_Amount]]*SalesMaster[[#This Row],[Quantity_Sold]]</f>
        <v>121036.34999999999</v>
      </c>
      <c r="P273" s="6">
        <f>SalesMaster[[#This Row],[Quantity_Sold]]*SalesMaster[[#This Row],[Unit_Cost]]</f>
        <v>76484.89</v>
      </c>
      <c r="Q273" s="6">
        <f>SalesMaster[[#This Row],[Total_Sales]]-SalesMaster[[#This Row],[Total_Cost]]</f>
        <v>44551.459999999992</v>
      </c>
      <c r="R273" s="1">
        <f>IFERROR(SalesMaster[Net Profit]/SalesMaster[Total_Sales], 0)</f>
        <v>0.36808330720481902</v>
      </c>
      <c r="S273" t="str">
        <f>TEXT(SalesMaster[[#This Row],[Sale_Date]], "mmm")</f>
        <v>Apr</v>
      </c>
      <c r="T273" s="6" t="str">
        <f>IF(SalesMaster[Profit_Margin]&gt;=0.15, "Excellent", IF(SalesMaster[Profit_Margin]&gt;=0.05, "Average", "Needs Improvement"))</f>
        <v>Excellent</v>
      </c>
    </row>
    <row r="274" spans="1:20">
      <c r="A274">
        <v>1033</v>
      </c>
      <c r="B274" s="2">
        <v>45023</v>
      </c>
      <c r="C274" t="s">
        <v>35</v>
      </c>
      <c r="D274" t="s">
        <v>36</v>
      </c>
      <c r="E274">
        <v>5509.66</v>
      </c>
      <c r="F274">
        <v>4</v>
      </c>
      <c r="G274" t="s">
        <v>41</v>
      </c>
      <c r="H274">
        <v>2000.75</v>
      </c>
      <c r="I274">
        <v>2426.9899999999998</v>
      </c>
      <c r="J274" t="s">
        <v>17</v>
      </c>
      <c r="K274">
        <v>0.17</v>
      </c>
      <c r="L274" t="s">
        <v>27</v>
      </c>
      <c r="M274" t="s">
        <v>19</v>
      </c>
      <c r="N274" t="s">
        <v>37</v>
      </c>
      <c r="O274" s="6">
        <f>SalesMaster[[#This Row],[Sales_Amount]]*SalesMaster[[#This Row],[Quantity_Sold]]</f>
        <v>22038.639999999999</v>
      </c>
      <c r="P274" s="6">
        <f>SalesMaster[[#This Row],[Quantity_Sold]]*SalesMaster[[#This Row],[Unit_Cost]]</f>
        <v>8003</v>
      </c>
      <c r="Q274" s="6">
        <f>SalesMaster[[#This Row],[Total_Sales]]-SalesMaster[[#This Row],[Total_Cost]]</f>
        <v>14035.64</v>
      </c>
      <c r="R274" s="1">
        <f>IFERROR(SalesMaster[Net Profit]/SalesMaster[Total_Sales], 0)</f>
        <v>0.63686506971392065</v>
      </c>
      <c r="S274" t="str">
        <f>TEXT(SalesMaster[[#This Row],[Sale_Date]], "mmm")</f>
        <v>Apr</v>
      </c>
      <c r="T274" s="6" t="str">
        <f>IF(SalesMaster[Profit_Margin]&gt;=0.15, "Excellent", IF(SalesMaster[Profit_Margin]&gt;=0.05, "Average", "Needs Improvement"))</f>
        <v>Excellent</v>
      </c>
    </row>
    <row r="275" spans="1:20">
      <c r="A275">
        <v>1009</v>
      </c>
      <c r="B275" s="2">
        <v>45024</v>
      </c>
      <c r="C275" t="s">
        <v>21</v>
      </c>
      <c r="D275" t="s">
        <v>25</v>
      </c>
      <c r="E275">
        <v>2945.87</v>
      </c>
      <c r="F275">
        <v>32</v>
      </c>
      <c r="G275" t="s">
        <v>16</v>
      </c>
      <c r="H275">
        <v>3219.88</v>
      </c>
      <c r="I275">
        <v>3384.5</v>
      </c>
      <c r="J275" t="s">
        <v>17</v>
      </c>
      <c r="K275">
        <v>0.14000000000000001</v>
      </c>
      <c r="L275" t="s">
        <v>18</v>
      </c>
      <c r="M275" t="s">
        <v>28</v>
      </c>
      <c r="N275" t="s">
        <v>51</v>
      </c>
      <c r="O275" s="6">
        <f>SalesMaster[[#This Row],[Sales_Amount]]*SalesMaster[[#This Row],[Quantity_Sold]]</f>
        <v>94267.839999999997</v>
      </c>
      <c r="P275" s="6">
        <f>SalesMaster[[#This Row],[Quantity_Sold]]*SalesMaster[[#This Row],[Unit_Cost]]</f>
        <v>103036.16</v>
      </c>
      <c r="Q275" s="6">
        <f>SalesMaster[[#This Row],[Total_Sales]]-SalesMaster[[#This Row],[Total_Cost]]</f>
        <v>-8768.320000000007</v>
      </c>
      <c r="R275" s="1">
        <f>IFERROR(SalesMaster[Net Profit]/SalesMaster[Total_Sales], 0)</f>
        <v>-9.3014966716114506E-2</v>
      </c>
      <c r="S275" t="str">
        <f>TEXT(SalesMaster[[#This Row],[Sale_Date]], "mmm")</f>
        <v>Apr</v>
      </c>
      <c r="T275" s="6" t="str">
        <f>IF(SalesMaster[Profit_Margin]&gt;=0.15, "Excellent", IF(SalesMaster[Profit_Margin]&gt;=0.05, "Average", "Needs Improvement"))</f>
        <v>Needs Improvement</v>
      </c>
    </row>
    <row r="276" spans="1:20">
      <c r="A276">
        <v>1098</v>
      </c>
      <c r="B276" s="2">
        <v>45024</v>
      </c>
      <c r="C276" t="s">
        <v>14</v>
      </c>
      <c r="D276" t="s">
        <v>15</v>
      </c>
      <c r="E276">
        <v>9452.89</v>
      </c>
      <c r="F276">
        <v>5</v>
      </c>
      <c r="G276" t="s">
        <v>31</v>
      </c>
      <c r="H276">
        <v>2947.22</v>
      </c>
      <c r="I276">
        <v>3145.27</v>
      </c>
      <c r="J276" t="s">
        <v>22</v>
      </c>
      <c r="K276">
        <v>0.1</v>
      </c>
      <c r="L276" t="s">
        <v>23</v>
      </c>
      <c r="M276" t="s">
        <v>28</v>
      </c>
      <c r="N276" t="s">
        <v>20</v>
      </c>
      <c r="O276" s="6">
        <f>SalesMaster[[#This Row],[Sales_Amount]]*SalesMaster[[#This Row],[Quantity_Sold]]</f>
        <v>47264.45</v>
      </c>
      <c r="P276" s="6">
        <f>SalesMaster[[#This Row],[Quantity_Sold]]*SalesMaster[[#This Row],[Unit_Cost]]</f>
        <v>14736.099999999999</v>
      </c>
      <c r="Q276" s="6">
        <f>SalesMaster[[#This Row],[Total_Sales]]-SalesMaster[[#This Row],[Total_Cost]]</f>
        <v>32528.35</v>
      </c>
      <c r="R276" s="1">
        <f>IFERROR(SalesMaster[Net Profit]/SalesMaster[Total_Sales], 0)</f>
        <v>0.68822021625132634</v>
      </c>
      <c r="S276" t="str">
        <f>TEXT(SalesMaster[[#This Row],[Sale_Date]], "mmm")</f>
        <v>Apr</v>
      </c>
      <c r="T276" s="6" t="str">
        <f>IF(SalesMaster[Profit_Margin]&gt;=0.15, "Excellent", IF(SalesMaster[Profit_Margin]&gt;=0.05, "Average", "Needs Improvement"))</f>
        <v>Excellent</v>
      </c>
    </row>
    <row r="277" spans="1:20">
      <c r="A277">
        <v>1096</v>
      </c>
      <c r="B277" s="2">
        <v>45024</v>
      </c>
      <c r="C277" t="s">
        <v>21</v>
      </c>
      <c r="D277" t="s">
        <v>25</v>
      </c>
      <c r="E277">
        <v>5935.59</v>
      </c>
      <c r="F277">
        <v>45</v>
      </c>
      <c r="G277" t="s">
        <v>16</v>
      </c>
      <c r="H277">
        <v>357.92</v>
      </c>
      <c r="I277">
        <v>461.3</v>
      </c>
      <c r="J277" t="s">
        <v>17</v>
      </c>
      <c r="K277">
        <v>0.28000000000000003</v>
      </c>
      <c r="L277" t="s">
        <v>18</v>
      </c>
      <c r="M277" t="s">
        <v>19</v>
      </c>
      <c r="N277" t="s">
        <v>51</v>
      </c>
      <c r="O277" s="6">
        <f>SalesMaster[[#This Row],[Sales_Amount]]*SalesMaster[[#This Row],[Quantity_Sold]]</f>
        <v>267101.55</v>
      </c>
      <c r="P277" s="6">
        <f>SalesMaster[[#This Row],[Quantity_Sold]]*SalesMaster[[#This Row],[Unit_Cost]]</f>
        <v>16106.400000000001</v>
      </c>
      <c r="Q277" s="6">
        <f>SalesMaster[[#This Row],[Total_Sales]]-SalesMaster[[#This Row],[Total_Cost]]</f>
        <v>250995.15</v>
      </c>
      <c r="R277" s="1">
        <f>IFERROR(SalesMaster[Net Profit]/SalesMaster[Total_Sales], 0)</f>
        <v>0.9396993390716003</v>
      </c>
      <c r="S277" t="str">
        <f>TEXT(SalesMaster[[#This Row],[Sale_Date]], "mmm")</f>
        <v>Apr</v>
      </c>
      <c r="T277" s="6" t="str">
        <f>IF(SalesMaster[Profit_Margin]&gt;=0.15, "Excellent", IF(SalesMaster[Profit_Margin]&gt;=0.05, "Average", "Needs Improvement"))</f>
        <v>Excellent</v>
      </c>
    </row>
    <row r="278" spans="1:20">
      <c r="A278">
        <v>1061</v>
      </c>
      <c r="B278" s="2">
        <v>45024</v>
      </c>
      <c r="C278" t="s">
        <v>21</v>
      </c>
      <c r="D278" t="s">
        <v>36</v>
      </c>
      <c r="E278">
        <v>3988.03</v>
      </c>
      <c r="F278">
        <v>29</v>
      </c>
      <c r="G278" t="s">
        <v>16</v>
      </c>
      <c r="H278">
        <v>1221.74</v>
      </c>
      <c r="I278">
        <v>1611.92</v>
      </c>
      <c r="J278" t="s">
        <v>22</v>
      </c>
      <c r="K278">
        <v>0.15</v>
      </c>
      <c r="L278" t="s">
        <v>18</v>
      </c>
      <c r="M278" t="s">
        <v>28</v>
      </c>
      <c r="N278" t="s">
        <v>38</v>
      </c>
      <c r="O278" s="6">
        <f>SalesMaster[[#This Row],[Sales_Amount]]*SalesMaster[[#This Row],[Quantity_Sold]]</f>
        <v>115652.87000000001</v>
      </c>
      <c r="P278" s="6">
        <f>SalesMaster[[#This Row],[Quantity_Sold]]*SalesMaster[[#This Row],[Unit_Cost]]</f>
        <v>35430.46</v>
      </c>
      <c r="Q278" s="6">
        <f>SalesMaster[[#This Row],[Total_Sales]]-SalesMaster[[#This Row],[Total_Cost]]</f>
        <v>80222.41</v>
      </c>
      <c r="R278" s="1">
        <f>IFERROR(SalesMaster[Net Profit]/SalesMaster[Total_Sales], 0)</f>
        <v>0.69364824236527811</v>
      </c>
      <c r="S278" t="str">
        <f>TEXT(SalesMaster[[#This Row],[Sale_Date]], "mmm")</f>
        <v>Apr</v>
      </c>
      <c r="T278" s="6" t="str">
        <f>IF(SalesMaster[Profit_Margin]&gt;=0.15, "Excellent", IF(SalesMaster[Profit_Margin]&gt;=0.05, "Average", "Needs Improvement"))</f>
        <v>Excellent</v>
      </c>
    </row>
    <row r="279" spans="1:20">
      <c r="A279">
        <v>1007</v>
      </c>
      <c r="B279" s="2">
        <v>45024</v>
      </c>
      <c r="C279" t="s">
        <v>21</v>
      </c>
      <c r="D279" t="s">
        <v>36</v>
      </c>
      <c r="E279">
        <v>3758.78</v>
      </c>
      <c r="F279">
        <v>13</v>
      </c>
      <c r="G279" t="s">
        <v>16</v>
      </c>
      <c r="H279">
        <v>3597.2</v>
      </c>
      <c r="I279">
        <v>4071.8199999999902</v>
      </c>
      <c r="J279" t="s">
        <v>17</v>
      </c>
      <c r="K279">
        <v>0.28999999999999998</v>
      </c>
      <c r="L279" t="s">
        <v>27</v>
      </c>
      <c r="M279" t="s">
        <v>19</v>
      </c>
      <c r="N279" t="s">
        <v>38</v>
      </c>
      <c r="O279" s="6">
        <f>SalesMaster[[#This Row],[Sales_Amount]]*SalesMaster[[#This Row],[Quantity_Sold]]</f>
        <v>48864.14</v>
      </c>
      <c r="P279" s="6">
        <f>SalesMaster[[#This Row],[Quantity_Sold]]*SalesMaster[[#This Row],[Unit_Cost]]</f>
        <v>46763.6</v>
      </c>
      <c r="Q279" s="6">
        <f>SalesMaster[[#This Row],[Total_Sales]]-SalesMaster[[#This Row],[Total_Cost]]</f>
        <v>2100.5400000000009</v>
      </c>
      <c r="R279" s="1">
        <f>IFERROR(SalesMaster[Net Profit]/SalesMaster[Total_Sales], 0)</f>
        <v>4.2987352279196991E-2</v>
      </c>
      <c r="S279" t="str">
        <f>TEXT(SalesMaster[[#This Row],[Sale_Date]], "mmm")</f>
        <v>Apr</v>
      </c>
      <c r="T279" s="6" t="str">
        <f>IF(SalesMaster[Profit_Margin]&gt;=0.15, "Excellent", IF(SalesMaster[Profit_Margin]&gt;=0.05, "Average", "Needs Improvement"))</f>
        <v>Needs Improvement</v>
      </c>
    </row>
    <row r="280" spans="1:20">
      <c r="A280">
        <v>1039</v>
      </c>
      <c r="B280" s="2">
        <v>45025</v>
      </c>
      <c r="C280" t="s">
        <v>42</v>
      </c>
      <c r="D280" t="s">
        <v>15</v>
      </c>
      <c r="E280">
        <v>763.04</v>
      </c>
      <c r="F280">
        <v>3</v>
      </c>
      <c r="G280" t="s">
        <v>41</v>
      </c>
      <c r="H280">
        <v>391.19</v>
      </c>
      <c r="I280">
        <v>471.75</v>
      </c>
      <c r="J280" t="s">
        <v>17</v>
      </c>
      <c r="K280">
        <v>0.27</v>
      </c>
      <c r="L280" t="s">
        <v>18</v>
      </c>
      <c r="M280" t="s">
        <v>19</v>
      </c>
      <c r="N280" t="s">
        <v>47</v>
      </c>
      <c r="O280" s="6">
        <f>SalesMaster[[#This Row],[Sales_Amount]]*SalesMaster[[#This Row],[Quantity_Sold]]</f>
        <v>2289.12</v>
      </c>
      <c r="P280" s="6">
        <f>SalesMaster[[#This Row],[Quantity_Sold]]*SalesMaster[[#This Row],[Unit_Cost]]</f>
        <v>1173.57</v>
      </c>
      <c r="Q280" s="6">
        <f>SalesMaster[[#This Row],[Total_Sales]]-SalesMaster[[#This Row],[Total_Cost]]</f>
        <v>1115.55</v>
      </c>
      <c r="R280" s="1">
        <f>IFERROR(SalesMaster[Net Profit]/SalesMaster[Total_Sales], 0)</f>
        <v>0.4873270077584399</v>
      </c>
      <c r="S280" t="str">
        <f>TEXT(SalesMaster[[#This Row],[Sale_Date]], "mmm")</f>
        <v>Apr</v>
      </c>
      <c r="T280" s="6" t="str">
        <f>IF(SalesMaster[Profit_Margin]&gt;=0.15, "Excellent", IF(SalesMaster[Profit_Margin]&gt;=0.05, "Average", "Needs Improvement"))</f>
        <v>Excellent</v>
      </c>
    </row>
    <row r="281" spans="1:20">
      <c r="A281">
        <v>1059</v>
      </c>
      <c r="B281" s="2">
        <v>45025</v>
      </c>
      <c r="C281" t="s">
        <v>21</v>
      </c>
      <c r="D281" t="s">
        <v>25</v>
      </c>
      <c r="E281">
        <v>8063.7</v>
      </c>
      <c r="F281">
        <v>1</v>
      </c>
      <c r="G281" t="s">
        <v>31</v>
      </c>
      <c r="H281">
        <v>332.62</v>
      </c>
      <c r="I281">
        <v>612.46</v>
      </c>
      <c r="J281" t="s">
        <v>17</v>
      </c>
      <c r="K281">
        <v>0.24</v>
      </c>
      <c r="L281" t="s">
        <v>18</v>
      </c>
      <c r="M281" t="s">
        <v>28</v>
      </c>
      <c r="N281" t="s">
        <v>51</v>
      </c>
      <c r="O281" s="6">
        <f>SalesMaster[[#This Row],[Sales_Amount]]*SalesMaster[[#This Row],[Quantity_Sold]]</f>
        <v>8063.7</v>
      </c>
      <c r="P281" s="6">
        <f>SalesMaster[[#This Row],[Quantity_Sold]]*SalesMaster[[#This Row],[Unit_Cost]]</f>
        <v>332.62</v>
      </c>
      <c r="Q281" s="6">
        <f>SalesMaster[[#This Row],[Total_Sales]]-SalesMaster[[#This Row],[Total_Cost]]</f>
        <v>7731.08</v>
      </c>
      <c r="R281" s="1">
        <f>IFERROR(SalesMaster[Net Profit]/SalesMaster[Total_Sales], 0)</f>
        <v>0.95875094559569429</v>
      </c>
      <c r="S281" t="str">
        <f>TEXT(SalesMaster[[#This Row],[Sale_Date]], "mmm")</f>
        <v>Apr</v>
      </c>
      <c r="T281" s="6" t="str">
        <f>IF(SalesMaster[Profit_Margin]&gt;=0.15, "Excellent", IF(SalesMaster[Profit_Margin]&gt;=0.05, "Average", "Needs Improvement"))</f>
        <v>Excellent</v>
      </c>
    </row>
    <row r="282" spans="1:20">
      <c r="A282">
        <v>1083</v>
      </c>
      <c r="B282" s="2">
        <v>45027</v>
      </c>
      <c r="C282" t="s">
        <v>35</v>
      </c>
      <c r="D282" t="s">
        <v>33</v>
      </c>
      <c r="E282">
        <v>618.30999999999995</v>
      </c>
      <c r="F282">
        <v>29</v>
      </c>
      <c r="G282" t="s">
        <v>26</v>
      </c>
      <c r="H282">
        <v>2408.81</v>
      </c>
      <c r="I282">
        <v>2624.09</v>
      </c>
      <c r="J282" t="s">
        <v>17</v>
      </c>
      <c r="K282">
        <v>0.14000000000000001</v>
      </c>
      <c r="L282" t="s">
        <v>18</v>
      </c>
      <c r="M282" t="s">
        <v>19</v>
      </c>
      <c r="N282" t="s">
        <v>52</v>
      </c>
      <c r="O282" s="6">
        <f>SalesMaster[[#This Row],[Sales_Amount]]*SalesMaster[[#This Row],[Quantity_Sold]]</f>
        <v>17930.989999999998</v>
      </c>
      <c r="P282" s="6">
        <f>SalesMaster[[#This Row],[Quantity_Sold]]*SalesMaster[[#This Row],[Unit_Cost]]</f>
        <v>69855.490000000005</v>
      </c>
      <c r="Q282" s="6">
        <f>SalesMaster[[#This Row],[Total_Sales]]-SalesMaster[[#This Row],[Total_Cost]]</f>
        <v>-51924.500000000007</v>
      </c>
      <c r="R282" s="1">
        <f>IFERROR(SalesMaster[Net Profit]/SalesMaster[Total_Sales], 0)</f>
        <v>-2.8957966068800447</v>
      </c>
      <c r="S282" t="str">
        <f>TEXT(SalesMaster[[#This Row],[Sale_Date]], "mmm")</f>
        <v>Apr</v>
      </c>
      <c r="T282" s="6" t="str">
        <f>IF(SalesMaster[Profit_Margin]&gt;=0.15, "Excellent", IF(SalesMaster[Profit_Margin]&gt;=0.05, "Average", "Needs Improvement"))</f>
        <v>Needs Improvement</v>
      </c>
    </row>
    <row r="283" spans="1:20">
      <c r="A283">
        <v>1014</v>
      </c>
      <c r="B283" s="2">
        <v>45027</v>
      </c>
      <c r="C283" t="s">
        <v>42</v>
      </c>
      <c r="D283" t="s">
        <v>25</v>
      </c>
      <c r="E283">
        <v>9582.1200000000008</v>
      </c>
      <c r="F283">
        <v>38</v>
      </c>
      <c r="G283" t="s">
        <v>41</v>
      </c>
      <c r="H283">
        <v>2091.21</v>
      </c>
      <c r="I283">
        <v>2527</v>
      </c>
      <c r="J283" t="s">
        <v>17</v>
      </c>
      <c r="K283">
        <v>0.01</v>
      </c>
      <c r="L283" t="s">
        <v>23</v>
      </c>
      <c r="M283" t="s">
        <v>19</v>
      </c>
      <c r="N283" t="s">
        <v>49</v>
      </c>
      <c r="O283" s="6">
        <f>SalesMaster[[#This Row],[Sales_Amount]]*SalesMaster[[#This Row],[Quantity_Sold]]</f>
        <v>364120.56000000006</v>
      </c>
      <c r="P283" s="6">
        <f>SalesMaster[[#This Row],[Quantity_Sold]]*SalesMaster[[#This Row],[Unit_Cost]]</f>
        <v>79465.98</v>
      </c>
      <c r="Q283" s="6">
        <f>SalesMaster[[#This Row],[Total_Sales]]-SalesMaster[[#This Row],[Total_Cost]]</f>
        <v>284654.58000000007</v>
      </c>
      <c r="R283" s="1">
        <f>IFERROR(SalesMaster[Net Profit]/SalesMaster[Total_Sales], 0)</f>
        <v>0.78175915141951891</v>
      </c>
      <c r="S283" t="str">
        <f>TEXT(SalesMaster[[#This Row],[Sale_Date]], "mmm")</f>
        <v>Apr</v>
      </c>
      <c r="T283" s="6" t="str">
        <f>IF(SalesMaster[Profit_Margin]&gt;=0.15, "Excellent", IF(SalesMaster[Profit_Margin]&gt;=0.05, "Average", "Needs Improvement"))</f>
        <v>Excellent</v>
      </c>
    </row>
    <row r="284" spans="1:20">
      <c r="A284">
        <v>1002</v>
      </c>
      <c r="B284" s="2">
        <v>45027</v>
      </c>
      <c r="C284" t="s">
        <v>35</v>
      </c>
      <c r="D284" t="s">
        <v>15</v>
      </c>
      <c r="E284">
        <v>1942.75</v>
      </c>
      <c r="F284">
        <v>21</v>
      </c>
      <c r="G284" t="s">
        <v>41</v>
      </c>
      <c r="H284">
        <v>914.22</v>
      </c>
      <c r="I284">
        <v>971.57</v>
      </c>
      <c r="J284" t="s">
        <v>17</v>
      </c>
      <c r="K284">
        <v>0.14000000000000001</v>
      </c>
      <c r="L284" t="s">
        <v>18</v>
      </c>
      <c r="M284" t="s">
        <v>19</v>
      </c>
      <c r="N284" t="s">
        <v>44</v>
      </c>
      <c r="O284" s="6">
        <f>SalesMaster[[#This Row],[Sales_Amount]]*SalesMaster[[#This Row],[Quantity_Sold]]</f>
        <v>40797.75</v>
      </c>
      <c r="P284" s="6">
        <f>SalesMaster[[#This Row],[Quantity_Sold]]*SalesMaster[[#This Row],[Unit_Cost]]</f>
        <v>19198.62</v>
      </c>
      <c r="Q284" s="6">
        <f>SalesMaster[[#This Row],[Total_Sales]]-SalesMaster[[#This Row],[Total_Cost]]</f>
        <v>21599.13</v>
      </c>
      <c r="R284" s="1">
        <f>IFERROR(SalesMaster[Net Profit]/SalesMaster[Total_Sales], 0)</f>
        <v>0.52941963711234075</v>
      </c>
      <c r="S284" t="str">
        <f>TEXT(SalesMaster[[#This Row],[Sale_Date]], "mmm")</f>
        <v>Apr</v>
      </c>
      <c r="T284" s="6" t="str">
        <f>IF(SalesMaster[Profit_Margin]&gt;=0.15, "Excellent", IF(SalesMaster[Profit_Margin]&gt;=0.05, "Average", "Needs Improvement"))</f>
        <v>Excellent</v>
      </c>
    </row>
    <row r="285" spans="1:20">
      <c r="A285">
        <v>1067</v>
      </c>
      <c r="B285" s="2">
        <v>45027</v>
      </c>
      <c r="C285" t="s">
        <v>35</v>
      </c>
      <c r="D285" t="s">
        <v>36</v>
      </c>
      <c r="E285">
        <v>8963.93</v>
      </c>
      <c r="F285">
        <v>17</v>
      </c>
      <c r="G285" t="s">
        <v>41</v>
      </c>
      <c r="H285">
        <v>2831.58</v>
      </c>
      <c r="I285">
        <v>3186.15</v>
      </c>
      <c r="J285" t="s">
        <v>22</v>
      </c>
      <c r="K285">
        <v>0.24</v>
      </c>
      <c r="L285" t="s">
        <v>27</v>
      </c>
      <c r="M285" t="s">
        <v>28</v>
      </c>
      <c r="N285" t="s">
        <v>37</v>
      </c>
      <c r="O285" s="6">
        <f>SalesMaster[[#This Row],[Sales_Amount]]*SalesMaster[[#This Row],[Quantity_Sold]]</f>
        <v>152386.81</v>
      </c>
      <c r="P285" s="6">
        <f>SalesMaster[[#This Row],[Quantity_Sold]]*SalesMaster[[#This Row],[Unit_Cost]]</f>
        <v>48136.86</v>
      </c>
      <c r="Q285" s="6">
        <f>SalesMaster[[#This Row],[Total_Sales]]-SalesMaster[[#This Row],[Total_Cost]]</f>
        <v>104249.95</v>
      </c>
      <c r="R285" s="1">
        <f>IFERROR(SalesMaster[Net Profit]/SalesMaster[Total_Sales], 0)</f>
        <v>0.68411399910530313</v>
      </c>
      <c r="S285" t="str">
        <f>TEXT(SalesMaster[[#This Row],[Sale_Date]], "mmm")</f>
        <v>Apr</v>
      </c>
      <c r="T285" s="6" t="str">
        <f>IF(SalesMaster[Profit_Margin]&gt;=0.15, "Excellent", IF(SalesMaster[Profit_Margin]&gt;=0.05, "Average", "Needs Improvement"))</f>
        <v>Excellent</v>
      </c>
    </row>
    <row r="286" spans="1:20">
      <c r="A286">
        <v>1063</v>
      </c>
      <c r="B286" s="2">
        <v>45028</v>
      </c>
      <c r="C286" t="s">
        <v>21</v>
      </c>
      <c r="D286" t="s">
        <v>15</v>
      </c>
      <c r="E286">
        <v>5886.04</v>
      </c>
      <c r="F286">
        <v>40</v>
      </c>
      <c r="G286" t="s">
        <v>31</v>
      </c>
      <c r="H286">
        <v>2101.3200000000002</v>
      </c>
      <c r="I286">
        <v>2440.63</v>
      </c>
      <c r="J286" t="s">
        <v>22</v>
      </c>
      <c r="K286">
        <v>0.26</v>
      </c>
      <c r="L286" t="s">
        <v>27</v>
      </c>
      <c r="M286" t="s">
        <v>28</v>
      </c>
      <c r="N286" t="s">
        <v>24</v>
      </c>
      <c r="O286" s="6">
        <f>SalesMaster[[#This Row],[Sales_Amount]]*SalesMaster[[#This Row],[Quantity_Sold]]</f>
        <v>235441.6</v>
      </c>
      <c r="P286" s="6">
        <f>SalesMaster[[#This Row],[Quantity_Sold]]*SalesMaster[[#This Row],[Unit_Cost]]</f>
        <v>84052.800000000003</v>
      </c>
      <c r="Q286" s="6">
        <f>SalesMaster[[#This Row],[Total_Sales]]-SalesMaster[[#This Row],[Total_Cost]]</f>
        <v>151388.79999999999</v>
      </c>
      <c r="R286" s="1">
        <f>IFERROR(SalesMaster[Net Profit]/SalesMaster[Total_Sales], 0)</f>
        <v>0.64299936799613999</v>
      </c>
      <c r="S286" t="str">
        <f>TEXT(SalesMaster[[#This Row],[Sale_Date]], "mmm")</f>
        <v>Apr</v>
      </c>
      <c r="T286" s="6" t="str">
        <f>IF(SalesMaster[Profit_Margin]&gt;=0.15, "Excellent", IF(SalesMaster[Profit_Margin]&gt;=0.05, "Average", "Needs Improvement"))</f>
        <v>Excellent</v>
      </c>
    </row>
    <row r="287" spans="1:20">
      <c r="A287">
        <v>1081</v>
      </c>
      <c r="B287" s="2">
        <v>45028</v>
      </c>
      <c r="C287" t="s">
        <v>35</v>
      </c>
      <c r="D287" t="s">
        <v>25</v>
      </c>
      <c r="E287">
        <v>9680.84</v>
      </c>
      <c r="F287">
        <v>19</v>
      </c>
      <c r="G287" t="s">
        <v>41</v>
      </c>
      <c r="H287">
        <v>2443.69</v>
      </c>
      <c r="I287">
        <v>2462.34</v>
      </c>
      <c r="J287" t="s">
        <v>22</v>
      </c>
      <c r="K287">
        <v>7.0000000000000007E-2</v>
      </c>
      <c r="L287" t="s">
        <v>27</v>
      </c>
      <c r="M287" t="s">
        <v>28</v>
      </c>
      <c r="N287" t="s">
        <v>40</v>
      </c>
      <c r="O287" s="6">
        <f>SalesMaster[[#This Row],[Sales_Amount]]*SalesMaster[[#This Row],[Quantity_Sold]]</f>
        <v>183935.96</v>
      </c>
      <c r="P287" s="6">
        <f>SalesMaster[[#This Row],[Quantity_Sold]]*SalesMaster[[#This Row],[Unit_Cost]]</f>
        <v>46430.11</v>
      </c>
      <c r="Q287" s="6">
        <f>SalesMaster[[#This Row],[Total_Sales]]-SalesMaster[[#This Row],[Total_Cost]]</f>
        <v>137505.84999999998</v>
      </c>
      <c r="R287" s="1">
        <f>IFERROR(SalesMaster[Net Profit]/SalesMaster[Total_Sales], 0)</f>
        <v>0.74757459063469689</v>
      </c>
      <c r="S287" t="str">
        <f>TEXT(SalesMaster[[#This Row],[Sale_Date]], "mmm")</f>
        <v>Apr</v>
      </c>
      <c r="T287" s="6" t="str">
        <f>IF(SalesMaster[Profit_Margin]&gt;=0.15, "Excellent", IF(SalesMaster[Profit_Margin]&gt;=0.05, "Average", "Needs Improvement"))</f>
        <v>Excellent</v>
      </c>
    </row>
    <row r="288" spans="1:20">
      <c r="A288">
        <v>1091</v>
      </c>
      <c r="B288" s="2">
        <v>45029</v>
      </c>
      <c r="C288" t="s">
        <v>14</v>
      </c>
      <c r="D288" t="s">
        <v>33</v>
      </c>
      <c r="E288">
        <v>9146.51</v>
      </c>
      <c r="F288">
        <v>36</v>
      </c>
      <c r="G288" t="s">
        <v>31</v>
      </c>
      <c r="H288">
        <v>3951.59</v>
      </c>
      <c r="I288">
        <v>4387.01</v>
      </c>
      <c r="J288" t="s">
        <v>22</v>
      </c>
      <c r="K288">
        <v>7.0000000000000007E-2</v>
      </c>
      <c r="L288" t="s">
        <v>27</v>
      </c>
      <c r="M288" t="s">
        <v>28</v>
      </c>
      <c r="N288" t="s">
        <v>45</v>
      </c>
      <c r="O288" s="6">
        <f>SalesMaster[[#This Row],[Sales_Amount]]*SalesMaster[[#This Row],[Quantity_Sold]]</f>
        <v>329274.36</v>
      </c>
      <c r="P288" s="6">
        <f>SalesMaster[[#This Row],[Quantity_Sold]]*SalesMaster[[#This Row],[Unit_Cost]]</f>
        <v>142257.24</v>
      </c>
      <c r="Q288" s="6">
        <f>SalesMaster[[#This Row],[Total_Sales]]-SalesMaster[[#This Row],[Total_Cost]]</f>
        <v>187017.12</v>
      </c>
      <c r="R288" s="1">
        <f>IFERROR(SalesMaster[Net Profit]/SalesMaster[Total_Sales], 0)</f>
        <v>0.56796745425304296</v>
      </c>
      <c r="S288" t="str">
        <f>TEXT(SalesMaster[[#This Row],[Sale_Date]], "mmm")</f>
        <v>Apr</v>
      </c>
      <c r="T288" s="6" t="str">
        <f>IF(SalesMaster[Profit_Margin]&gt;=0.15, "Excellent", IF(SalesMaster[Profit_Margin]&gt;=0.05, "Average", "Needs Improvement"))</f>
        <v>Excellent</v>
      </c>
    </row>
    <row r="289" spans="1:20">
      <c r="A289">
        <v>1008</v>
      </c>
      <c r="B289" s="2">
        <v>45029</v>
      </c>
      <c r="C289" t="s">
        <v>21</v>
      </c>
      <c r="D289" t="s">
        <v>25</v>
      </c>
      <c r="E289">
        <v>5104.54</v>
      </c>
      <c r="F289">
        <v>24</v>
      </c>
      <c r="G289" t="s">
        <v>26</v>
      </c>
      <c r="H289">
        <v>4739.13</v>
      </c>
      <c r="I289">
        <v>4868.95</v>
      </c>
      <c r="J289" t="s">
        <v>22</v>
      </c>
      <c r="K289">
        <v>0.14000000000000001</v>
      </c>
      <c r="L289" t="s">
        <v>23</v>
      </c>
      <c r="M289" t="s">
        <v>28</v>
      </c>
      <c r="N289" t="s">
        <v>51</v>
      </c>
      <c r="O289" s="6">
        <f>SalesMaster[[#This Row],[Sales_Amount]]*SalesMaster[[#This Row],[Quantity_Sold]]</f>
        <v>122508.95999999999</v>
      </c>
      <c r="P289" s="6">
        <f>SalesMaster[[#This Row],[Quantity_Sold]]*SalesMaster[[#This Row],[Unit_Cost]]</f>
        <v>113739.12</v>
      </c>
      <c r="Q289" s="6">
        <f>SalesMaster[[#This Row],[Total_Sales]]-SalesMaster[[#This Row],[Total_Cost]]</f>
        <v>8769.8399999999965</v>
      </c>
      <c r="R289" s="1">
        <f>IFERROR(SalesMaster[Net Profit]/SalesMaster[Total_Sales], 0)</f>
        <v>7.1585294659264082E-2</v>
      </c>
      <c r="S289" t="str">
        <f>TEXT(SalesMaster[[#This Row],[Sale_Date]], "mmm")</f>
        <v>Apr</v>
      </c>
      <c r="T289" s="6" t="str">
        <f>IF(SalesMaster[Profit_Margin]&gt;=0.15, "Excellent", IF(SalesMaster[Profit_Margin]&gt;=0.05, "Average", "Needs Improvement"))</f>
        <v>Average</v>
      </c>
    </row>
    <row r="290" spans="1:20">
      <c r="A290">
        <v>1034</v>
      </c>
      <c r="B290" s="2">
        <v>45030</v>
      </c>
      <c r="C290" t="s">
        <v>42</v>
      </c>
      <c r="D290" t="s">
        <v>33</v>
      </c>
      <c r="E290">
        <v>534.61</v>
      </c>
      <c r="F290">
        <v>3</v>
      </c>
      <c r="G290" t="s">
        <v>16</v>
      </c>
      <c r="H290">
        <v>3472.51</v>
      </c>
      <c r="I290">
        <v>3732</v>
      </c>
      <c r="J290" t="s">
        <v>22</v>
      </c>
      <c r="K290">
        <v>0.06</v>
      </c>
      <c r="L290" t="s">
        <v>18</v>
      </c>
      <c r="M290" t="s">
        <v>19</v>
      </c>
      <c r="N290" t="s">
        <v>50</v>
      </c>
      <c r="O290" s="6">
        <f>SalesMaster[[#This Row],[Sales_Amount]]*SalesMaster[[#This Row],[Quantity_Sold]]</f>
        <v>1603.83</v>
      </c>
      <c r="P290" s="6">
        <f>SalesMaster[[#This Row],[Quantity_Sold]]*SalesMaster[[#This Row],[Unit_Cost]]</f>
        <v>10417.530000000001</v>
      </c>
      <c r="Q290" s="6">
        <f>SalesMaster[[#This Row],[Total_Sales]]-SalesMaster[[#This Row],[Total_Cost]]</f>
        <v>-8813.7000000000007</v>
      </c>
      <c r="R290" s="1">
        <f>IFERROR(SalesMaster[Net Profit]/SalesMaster[Total_Sales], 0)</f>
        <v>-5.4954078674173701</v>
      </c>
      <c r="S290" t="str">
        <f>TEXT(SalesMaster[[#This Row],[Sale_Date]], "mmm")</f>
        <v>Apr</v>
      </c>
      <c r="T290" s="6" t="str">
        <f>IF(SalesMaster[Profit_Margin]&gt;=0.15, "Excellent", IF(SalesMaster[Profit_Margin]&gt;=0.05, "Average", "Needs Improvement"))</f>
        <v>Needs Improvement</v>
      </c>
    </row>
    <row r="291" spans="1:20">
      <c r="A291">
        <v>1099</v>
      </c>
      <c r="B291" s="2">
        <v>45030</v>
      </c>
      <c r="C291" t="s">
        <v>42</v>
      </c>
      <c r="D291" t="s">
        <v>36</v>
      </c>
      <c r="E291">
        <v>9948.7099999999991</v>
      </c>
      <c r="F291">
        <v>27</v>
      </c>
      <c r="G291" t="s">
        <v>41</v>
      </c>
      <c r="H291">
        <v>4929.55</v>
      </c>
      <c r="I291">
        <v>4990.33</v>
      </c>
      <c r="J291" t="s">
        <v>17</v>
      </c>
      <c r="K291">
        <v>0.28999999999999998</v>
      </c>
      <c r="L291" t="s">
        <v>23</v>
      </c>
      <c r="M291" t="s">
        <v>19</v>
      </c>
      <c r="N291" t="s">
        <v>43</v>
      </c>
      <c r="O291" s="6">
        <f>SalesMaster[[#This Row],[Sales_Amount]]*SalesMaster[[#This Row],[Quantity_Sold]]</f>
        <v>268615.17</v>
      </c>
      <c r="P291" s="6">
        <f>SalesMaster[[#This Row],[Quantity_Sold]]*SalesMaster[[#This Row],[Unit_Cost]]</f>
        <v>133097.85</v>
      </c>
      <c r="Q291" s="6">
        <f>SalesMaster[[#This Row],[Total_Sales]]-SalesMaster[[#This Row],[Total_Cost]]</f>
        <v>135517.31999999998</v>
      </c>
      <c r="R291" s="1">
        <f>IFERROR(SalesMaster[Net Profit]/SalesMaster[Total_Sales], 0)</f>
        <v>0.50450359895906094</v>
      </c>
      <c r="S291" t="str">
        <f>TEXT(SalesMaster[[#This Row],[Sale_Date]], "mmm")</f>
        <v>Apr</v>
      </c>
      <c r="T291" s="6" t="str">
        <f>IF(SalesMaster[Profit_Margin]&gt;=0.15, "Excellent", IF(SalesMaster[Profit_Margin]&gt;=0.05, "Average", "Needs Improvement"))</f>
        <v>Excellent</v>
      </c>
    </row>
    <row r="292" spans="1:20">
      <c r="A292">
        <v>1047</v>
      </c>
      <c r="B292" s="2">
        <v>45030</v>
      </c>
      <c r="C292" t="s">
        <v>14</v>
      </c>
      <c r="D292" t="s">
        <v>33</v>
      </c>
      <c r="E292">
        <v>7146.06</v>
      </c>
      <c r="F292">
        <v>16</v>
      </c>
      <c r="G292" t="s">
        <v>16</v>
      </c>
      <c r="H292">
        <v>3966.86</v>
      </c>
      <c r="I292">
        <v>4321.04</v>
      </c>
      <c r="J292" t="s">
        <v>17</v>
      </c>
      <c r="K292">
        <v>0.23</v>
      </c>
      <c r="L292" t="s">
        <v>23</v>
      </c>
      <c r="M292" t="s">
        <v>28</v>
      </c>
      <c r="N292" t="s">
        <v>45</v>
      </c>
      <c r="O292" s="6">
        <f>SalesMaster[[#This Row],[Sales_Amount]]*SalesMaster[[#This Row],[Quantity_Sold]]</f>
        <v>114336.96000000001</v>
      </c>
      <c r="P292" s="6">
        <f>SalesMaster[[#This Row],[Quantity_Sold]]*SalesMaster[[#This Row],[Unit_Cost]]</f>
        <v>63469.760000000002</v>
      </c>
      <c r="Q292" s="6">
        <f>SalesMaster[[#This Row],[Total_Sales]]-SalesMaster[[#This Row],[Total_Cost]]</f>
        <v>50867.200000000004</v>
      </c>
      <c r="R292" s="1">
        <f>IFERROR(SalesMaster[Net Profit]/SalesMaster[Total_Sales], 0)</f>
        <v>0.44488851199122315</v>
      </c>
      <c r="S292" t="str">
        <f>TEXT(SalesMaster[[#This Row],[Sale_Date]], "mmm")</f>
        <v>Apr</v>
      </c>
      <c r="T292" s="6" t="str">
        <f>IF(SalesMaster[Profit_Margin]&gt;=0.15, "Excellent", IF(SalesMaster[Profit_Margin]&gt;=0.05, "Average", "Needs Improvement"))</f>
        <v>Excellent</v>
      </c>
    </row>
    <row r="293" spans="1:20">
      <c r="A293">
        <v>1032</v>
      </c>
      <c r="B293" s="2">
        <v>45030</v>
      </c>
      <c r="C293" t="s">
        <v>30</v>
      </c>
      <c r="D293" t="s">
        <v>15</v>
      </c>
      <c r="E293">
        <v>2286.44</v>
      </c>
      <c r="F293">
        <v>45</v>
      </c>
      <c r="G293" t="s">
        <v>16</v>
      </c>
      <c r="H293">
        <v>3712.35</v>
      </c>
      <c r="I293">
        <v>3780.88</v>
      </c>
      <c r="J293" t="s">
        <v>22</v>
      </c>
      <c r="K293">
        <v>7.0000000000000007E-2</v>
      </c>
      <c r="L293" t="s">
        <v>18</v>
      </c>
      <c r="M293" t="s">
        <v>28</v>
      </c>
      <c r="N293" t="s">
        <v>53</v>
      </c>
      <c r="O293" s="6">
        <f>SalesMaster[[#This Row],[Sales_Amount]]*SalesMaster[[#This Row],[Quantity_Sold]]</f>
        <v>102889.8</v>
      </c>
      <c r="P293" s="6">
        <f>SalesMaster[[#This Row],[Quantity_Sold]]*SalesMaster[[#This Row],[Unit_Cost]]</f>
        <v>167055.75</v>
      </c>
      <c r="Q293" s="6">
        <f>SalesMaster[[#This Row],[Total_Sales]]-SalesMaster[[#This Row],[Total_Cost]]</f>
        <v>-64165.95</v>
      </c>
      <c r="R293" s="1">
        <f>IFERROR(SalesMaster[Net Profit]/SalesMaster[Total_Sales], 0)</f>
        <v>-0.62363762005563228</v>
      </c>
      <c r="S293" t="str">
        <f>TEXT(SalesMaster[[#This Row],[Sale_Date]], "mmm")</f>
        <v>Apr</v>
      </c>
      <c r="T293" s="6" t="str">
        <f>IF(SalesMaster[Profit_Margin]&gt;=0.15, "Excellent", IF(SalesMaster[Profit_Margin]&gt;=0.05, "Average", "Needs Improvement"))</f>
        <v>Needs Improvement</v>
      </c>
    </row>
    <row r="294" spans="1:20">
      <c r="A294">
        <v>1052</v>
      </c>
      <c r="B294" s="2">
        <v>45030</v>
      </c>
      <c r="C294" t="s">
        <v>30</v>
      </c>
      <c r="D294" t="s">
        <v>15</v>
      </c>
      <c r="E294">
        <v>1834.7</v>
      </c>
      <c r="F294">
        <v>5</v>
      </c>
      <c r="G294" t="s">
        <v>26</v>
      </c>
      <c r="H294">
        <v>745.71</v>
      </c>
      <c r="I294">
        <v>856.91</v>
      </c>
      <c r="J294" t="s">
        <v>17</v>
      </c>
      <c r="K294">
        <v>0.23</v>
      </c>
      <c r="L294" t="s">
        <v>27</v>
      </c>
      <c r="M294" t="s">
        <v>28</v>
      </c>
      <c r="N294" t="s">
        <v>53</v>
      </c>
      <c r="O294" s="6">
        <f>SalesMaster[[#This Row],[Sales_Amount]]*SalesMaster[[#This Row],[Quantity_Sold]]</f>
        <v>9173.5</v>
      </c>
      <c r="P294" s="6">
        <f>SalesMaster[[#This Row],[Quantity_Sold]]*SalesMaster[[#This Row],[Unit_Cost]]</f>
        <v>3728.55</v>
      </c>
      <c r="Q294" s="6">
        <f>SalesMaster[[#This Row],[Total_Sales]]-SalesMaster[[#This Row],[Total_Cost]]</f>
        <v>5444.95</v>
      </c>
      <c r="R294" s="1">
        <f>IFERROR(SalesMaster[Net Profit]/SalesMaster[Total_Sales], 0)</f>
        <v>0.59355207935902321</v>
      </c>
      <c r="S294" t="str">
        <f>TEXT(SalesMaster[[#This Row],[Sale_Date]], "mmm")</f>
        <v>Apr</v>
      </c>
      <c r="T294" s="6" t="str">
        <f>IF(SalesMaster[Profit_Margin]&gt;=0.15, "Excellent", IF(SalesMaster[Profit_Margin]&gt;=0.05, "Average", "Needs Improvement"))</f>
        <v>Excellent</v>
      </c>
    </row>
    <row r="295" spans="1:20">
      <c r="A295">
        <v>1001</v>
      </c>
      <c r="B295" s="2">
        <v>45030</v>
      </c>
      <c r="C295" t="s">
        <v>30</v>
      </c>
      <c r="D295" t="s">
        <v>36</v>
      </c>
      <c r="E295">
        <v>5488.11</v>
      </c>
      <c r="F295">
        <v>2</v>
      </c>
      <c r="G295" t="s">
        <v>31</v>
      </c>
      <c r="H295">
        <v>2631.68</v>
      </c>
      <c r="I295">
        <v>2904.06</v>
      </c>
      <c r="J295" t="s">
        <v>22</v>
      </c>
      <c r="K295">
        <v>0.15</v>
      </c>
      <c r="L295" t="s">
        <v>27</v>
      </c>
      <c r="M295" t="s">
        <v>19</v>
      </c>
      <c r="N295" t="s">
        <v>46</v>
      </c>
      <c r="O295" s="6">
        <f>SalesMaster[[#This Row],[Sales_Amount]]*SalesMaster[[#This Row],[Quantity_Sold]]</f>
        <v>10976.22</v>
      </c>
      <c r="P295" s="6">
        <f>SalesMaster[[#This Row],[Quantity_Sold]]*SalesMaster[[#This Row],[Unit_Cost]]</f>
        <v>5263.36</v>
      </c>
      <c r="Q295" s="6">
        <f>SalesMaster[[#This Row],[Total_Sales]]-SalesMaster[[#This Row],[Total_Cost]]</f>
        <v>5712.86</v>
      </c>
      <c r="R295" s="1">
        <f>IFERROR(SalesMaster[Net Profit]/SalesMaster[Total_Sales], 0)</f>
        <v>0.52047608375196563</v>
      </c>
      <c r="S295" t="str">
        <f>TEXT(SalesMaster[[#This Row],[Sale_Date]], "mmm")</f>
        <v>Apr</v>
      </c>
      <c r="T295" s="6" t="str">
        <f>IF(SalesMaster[Profit_Margin]&gt;=0.15, "Excellent", IF(SalesMaster[Profit_Margin]&gt;=0.05, "Average", "Needs Improvement"))</f>
        <v>Excellent</v>
      </c>
    </row>
    <row r="296" spans="1:20">
      <c r="A296">
        <v>1013</v>
      </c>
      <c r="B296" s="2">
        <v>45031</v>
      </c>
      <c r="C296" t="s">
        <v>14</v>
      </c>
      <c r="D296" t="s">
        <v>15</v>
      </c>
      <c r="E296">
        <v>7255.1</v>
      </c>
      <c r="F296">
        <v>42</v>
      </c>
      <c r="G296" t="s">
        <v>26</v>
      </c>
      <c r="H296">
        <v>1375.57</v>
      </c>
      <c r="I296">
        <v>1729.71</v>
      </c>
      <c r="J296" t="s">
        <v>22</v>
      </c>
      <c r="K296">
        <v>0.04</v>
      </c>
      <c r="L296" t="s">
        <v>18</v>
      </c>
      <c r="M296" t="s">
        <v>19</v>
      </c>
      <c r="N296" t="s">
        <v>20</v>
      </c>
      <c r="O296" s="6">
        <f>SalesMaster[[#This Row],[Sales_Amount]]*SalesMaster[[#This Row],[Quantity_Sold]]</f>
        <v>304714.2</v>
      </c>
      <c r="P296" s="6">
        <f>SalesMaster[[#This Row],[Quantity_Sold]]*SalesMaster[[#This Row],[Unit_Cost]]</f>
        <v>57773.939999999995</v>
      </c>
      <c r="Q296" s="6">
        <f>SalesMaster[[#This Row],[Total_Sales]]-SalesMaster[[#This Row],[Total_Cost]]</f>
        <v>246940.26</v>
      </c>
      <c r="R296" s="1">
        <f>IFERROR(SalesMaster[Net Profit]/SalesMaster[Total_Sales], 0)</f>
        <v>0.81039958098441101</v>
      </c>
      <c r="S296" t="str">
        <f>TEXT(SalesMaster[[#This Row],[Sale_Date]], "mmm")</f>
        <v>Apr</v>
      </c>
      <c r="T296" s="6" t="str">
        <f>IF(SalesMaster[Profit_Margin]&gt;=0.15, "Excellent", IF(SalesMaster[Profit_Margin]&gt;=0.05, "Average", "Needs Improvement"))</f>
        <v>Excellent</v>
      </c>
    </row>
    <row r="297" spans="1:20">
      <c r="A297">
        <v>1010</v>
      </c>
      <c r="B297" s="2">
        <v>45031</v>
      </c>
      <c r="C297" t="s">
        <v>21</v>
      </c>
      <c r="D297" t="s">
        <v>15</v>
      </c>
      <c r="E297">
        <v>4733.88</v>
      </c>
      <c r="F297">
        <v>4</v>
      </c>
      <c r="G297" t="s">
        <v>41</v>
      </c>
      <c r="H297">
        <v>4943.03</v>
      </c>
      <c r="I297">
        <v>5442.15</v>
      </c>
      <c r="J297" t="s">
        <v>17</v>
      </c>
      <c r="K297">
        <v>0.28999999999999998</v>
      </c>
      <c r="L297" t="s">
        <v>18</v>
      </c>
      <c r="M297" t="s">
        <v>19</v>
      </c>
      <c r="N297" t="s">
        <v>24</v>
      </c>
      <c r="O297" s="6">
        <f>SalesMaster[[#This Row],[Sales_Amount]]*SalesMaster[[#This Row],[Quantity_Sold]]</f>
        <v>18935.52</v>
      </c>
      <c r="P297" s="6">
        <f>SalesMaster[[#This Row],[Quantity_Sold]]*SalesMaster[[#This Row],[Unit_Cost]]</f>
        <v>19772.12</v>
      </c>
      <c r="Q297" s="6">
        <f>SalesMaster[[#This Row],[Total_Sales]]-SalesMaster[[#This Row],[Total_Cost]]</f>
        <v>-836.59999999999854</v>
      </c>
      <c r="R297" s="1">
        <f>IFERROR(SalesMaster[Net Profit]/SalesMaster[Total_Sales], 0)</f>
        <v>-4.4181517064226308E-2</v>
      </c>
      <c r="S297" t="str">
        <f>TEXT(SalesMaster[[#This Row],[Sale_Date]], "mmm")</f>
        <v>Apr</v>
      </c>
      <c r="T297" s="6" t="str">
        <f>IF(SalesMaster[Profit_Margin]&gt;=0.15, "Excellent", IF(SalesMaster[Profit_Margin]&gt;=0.05, "Average", "Needs Improvement"))</f>
        <v>Needs Improvement</v>
      </c>
    </row>
    <row r="298" spans="1:20">
      <c r="A298">
        <v>1081</v>
      </c>
      <c r="B298" s="2">
        <v>45032</v>
      </c>
      <c r="C298" t="s">
        <v>21</v>
      </c>
      <c r="D298" t="s">
        <v>33</v>
      </c>
      <c r="E298">
        <v>2896.71</v>
      </c>
      <c r="F298">
        <v>44</v>
      </c>
      <c r="G298" t="s">
        <v>31</v>
      </c>
      <c r="H298">
        <v>1362.15</v>
      </c>
      <c r="I298">
        <v>1844.07</v>
      </c>
      <c r="J298" t="s">
        <v>22</v>
      </c>
      <c r="K298">
        <v>0.28999999999999998</v>
      </c>
      <c r="L298" t="s">
        <v>23</v>
      </c>
      <c r="M298" t="s">
        <v>19</v>
      </c>
      <c r="N298" t="s">
        <v>48</v>
      </c>
      <c r="O298" s="6">
        <f>SalesMaster[[#This Row],[Sales_Amount]]*SalesMaster[[#This Row],[Quantity_Sold]]</f>
        <v>127455.24</v>
      </c>
      <c r="P298" s="6">
        <f>SalesMaster[[#This Row],[Quantity_Sold]]*SalesMaster[[#This Row],[Unit_Cost]]</f>
        <v>59934.600000000006</v>
      </c>
      <c r="Q298" s="6">
        <f>SalesMaster[[#This Row],[Total_Sales]]-SalesMaster[[#This Row],[Total_Cost]]</f>
        <v>67520.639999999999</v>
      </c>
      <c r="R298" s="1">
        <f>IFERROR(SalesMaster[Net Profit]/SalesMaster[Total_Sales], 0)</f>
        <v>0.52975962384912534</v>
      </c>
      <c r="S298" t="str">
        <f>TEXT(SalesMaster[[#This Row],[Sale_Date]], "mmm")</f>
        <v>Apr</v>
      </c>
      <c r="T298" s="6" t="str">
        <f>IF(SalesMaster[Profit_Margin]&gt;=0.15, "Excellent", IF(SalesMaster[Profit_Margin]&gt;=0.05, "Average", "Needs Improvement"))</f>
        <v>Excellent</v>
      </c>
    </row>
    <row r="299" spans="1:20">
      <c r="A299">
        <v>1027</v>
      </c>
      <c r="B299" s="2">
        <v>45032</v>
      </c>
      <c r="C299" t="s">
        <v>42</v>
      </c>
      <c r="D299" t="s">
        <v>36</v>
      </c>
      <c r="E299">
        <v>8241.57</v>
      </c>
      <c r="F299">
        <v>7</v>
      </c>
      <c r="G299" t="s">
        <v>41</v>
      </c>
      <c r="H299">
        <v>2371.85</v>
      </c>
      <c r="I299">
        <v>2457.29</v>
      </c>
      <c r="J299" t="s">
        <v>22</v>
      </c>
      <c r="K299">
        <v>0.03</v>
      </c>
      <c r="L299" t="s">
        <v>18</v>
      </c>
      <c r="M299" t="s">
        <v>28</v>
      </c>
      <c r="N299" t="s">
        <v>43</v>
      </c>
      <c r="O299" s="6">
        <f>SalesMaster[[#This Row],[Sales_Amount]]*SalesMaster[[#This Row],[Quantity_Sold]]</f>
        <v>57690.99</v>
      </c>
      <c r="P299" s="6">
        <f>SalesMaster[[#This Row],[Quantity_Sold]]*SalesMaster[[#This Row],[Unit_Cost]]</f>
        <v>16602.95</v>
      </c>
      <c r="Q299" s="6">
        <f>SalesMaster[[#This Row],[Total_Sales]]-SalesMaster[[#This Row],[Total_Cost]]</f>
        <v>41088.039999999994</v>
      </c>
      <c r="R299" s="1">
        <f>IFERROR(SalesMaster[Net Profit]/SalesMaster[Total_Sales], 0)</f>
        <v>0.7122089601859839</v>
      </c>
      <c r="S299" t="str">
        <f>TEXT(SalesMaster[[#This Row],[Sale_Date]], "mmm")</f>
        <v>Apr</v>
      </c>
      <c r="T299" s="6" t="str">
        <f>IF(SalesMaster[Profit_Margin]&gt;=0.15, "Excellent", IF(SalesMaster[Profit_Margin]&gt;=0.05, "Average", "Needs Improvement"))</f>
        <v>Excellent</v>
      </c>
    </row>
    <row r="300" spans="1:20">
      <c r="A300">
        <v>1052</v>
      </c>
      <c r="B300" s="2">
        <v>45033</v>
      </c>
      <c r="C300" t="s">
        <v>42</v>
      </c>
      <c r="D300" t="s">
        <v>25</v>
      </c>
      <c r="E300">
        <v>8448.93</v>
      </c>
      <c r="F300">
        <v>2</v>
      </c>
      <c r="G300" t="s">
        <v>41</v>
      </c>
      <c r="H300">
        <v>1935.41</v>
      </c>
      <c r="I300">
        <v>2305.44</v>
      </c>
      <c r="J300" t="s">
        <v>17</v>
      </c>
      <c r="K300">
        <v>0.22</v>
      </c>
      <c r="L300" t="s">
        <v>23</v>
      </c>
      <c r="M300" t="s">
        <v>19</v>
      </c>
      <c r="N300" t="s">
        <v>49</v>
      </c>
      <c r="O300" s="6">
        <f>SalesMaster[[#This Row],[Sales_Amount]]*SalesMaster[[#This Row],[Quantity_Sold]]</f>
        <v>16897.86</v>
      </c>
      <c r="P300" s="6">
        <f>SalesMaster[[#This Row],[Quantity_Sold]]*SalesMaster[[#This Row],[Unit_Cost]]</f>
        <v>3870.82</v>
      </c>
      <c r="Q300" s="6">
        <f>SalesMaster[[#This Row],[Total_Sales]]-SalesMaster[[#This Row],[Total_Cost]]</f>
        <v>13027.04</v>
      </c>
      <c r="R300" s="1">
        <f>IFERROR(SalesMaster[Net Profit]/SalesMaster[Total_Sales], 0)</f>
        <v>0.7709283897487611</v>
      </c>
      <c r="S300" t="str">
        <f>TEXT(SalesMaster[[#This Row],[Sale_Date]], "mmm")</f>
        <v>Apr</v>
      </c>
      <c r="T300" s="6" t="str">
        <f>IF(SalesMaster[Profit_Margin]&gt;=0.15, "Excellent", IF(SalesMaster[Profit_Margin]&gt;=0.05, "Average", "Needs Improvement"))</f>
        <v>Excellent</v>
      </c>
    </row>
    <row r="301" spans="1:20">
      <c r="A301">
        <v>1061</v>
      </c>
      <c r="B301" s="2">
        <v>45034</v>
      </c>
      <c r="C301" t="s">
        <v>14</v>
      </c>
      <c r="D301" t="s">
        <v>15</v>
      </c>
      <c r="E301">
        <v>3774.02</v>
      </c>
      <c r="F301">
        <v>47</v>
      </c>
      <c r="G301" t="s">
        <v>31</v>
      </c>
      <c r="H301">
        <v>146.27000000000001</v>
      </c>
      <c r="I301">
        <v>498.46</v>
      </c>
      <c r="J301" t="s">
        <v>22</v>
      </c>
      <c r="K301">
        <v>0.06</v>
      </c>
      <c r="L301" t="s">
        <v>18</v>
      </c>
      <c r="M301" t="s">
        <v>28</v>
      </c>
      <c r="N301" t="s">
        <v>20</v>
      </c>
      <c r="O301" s="6">
        <f>SalesMaster[[#This Row],[Sales_Amount]]*SalesMaster[[#This Row],[Quantity_Sold]]</f>
        <v>177378.94</v>
      </c>
      <c r="P301" s="6">
        <f>SalesMaster[[#This Row],[Quantity_Sold]]*SalesMaster[[#This Row],[Unit_Cost]]</f>
        <v>6874.6900000000005</v>
      </c>
      <c r="Q301" s="6">
        <f>SalesMaster[[#This Row],[Total_Sales]]-SalesMaster[[#This Row],[Total_Cost]]</f>
        <v>170504.25</v>
      </c>
      <c r="R301" s="1">
        <f>IFERROR(SalesMaster[Net Profit]/SalesMaster[Total_Sales], 0)</f>
        <v>0.96124291869147482</v>
      </c>
      <c r="S301" t="str">
        <f>TEXT(SalesMaster[[#This Row],[Sale_Date]], "mmm")</f>
        <v>Apr</v>
      </c>
      <c r="T301" s="6" t="str">
        <f>IF(SalesMaster[Profit_Margin]&gt;=0.15, "Excellent", IF(SalesMaster[Profit_Margin]&gt;=0.05, "Average", "Needs Improvement"))</f>
        <v>Excellent</v>
      </c>
    </row>
    <row r="302" spans="1:20">
      <c r="B302" s="2"/>
    </row>
    <row r="303" spans="1:20">
      <c r="B303" s="2"/>
    </row>
    <row r="304" spans="1:20">
      <c r="B304" s="2"/>
    </row>
    <row r="305" spans="2:2">
      <c r="B305" s="2"/>
    </row>
    <row r="306" spans="2:2">
      <c r="B306" s="2"/>
    </row>
    <row r="307" spans="2:2">
      <c r="B307" s="2"/>
    </row>
    <row r="308" spans="2:2">
      <c r="B308" s="2"/>
    </row>
    <row r="309" spans="2:2">
      <c r="B309" s="2"/>
    </row>
    <row r="310" spans="2:2">
      <c r="B310" s="2"/>
    </row>
    <row r="311" spans="2:2">
      <c r="B311" s="2"/>
    </row>
    <row r="312" spans="2:2">
      <c r="B312" s="2"/>
    </row>
    <row r="313" spans="2:2">
      <c r="B313" s="2"/>
    </row>
    <row r="314" spans="2:2">
      <c r="B314" s="2"/>
    </row>
    <row r="315" spans="2:2">
      <c r="B315" s="2"/>
    </row>
    <row r="316" spans="2:2">
      <c r="B316" s="2"/>
    </row>
    <row r="317" spans="2:2">
      <c r="B317" s="2"/>
    </row>
    <row r="318" spans="2:2">
      <c r="B318" s="2"/>
    </row>
    <row r="319" spans="2:2">
      <c r="B319" s="2"/>
    </row>
    <row r="320" spans="2:2">
      <c r="B320" s="2"/>
    </row>
    <row r="321" spans="2:2">
      <c r="B321" s="2"/>
    </row>
    <row r="322" spans="2:2">
      <c r="B322" s="2"/>
    </row>
    <row r="323" spans="2:2">
      <c r="B323" s="2"/>
    </row>
    <row r="324" spans="2:2">
      <c r="B324" s="2"/>
    </row>
    <row r="325" spans="2:2">
      <c r="B325" s="2"/>
    </row>
    <row r="326" spans="2:2">
      <c r="B326" s="2"/>
    </row>
    <row r="327" spans="2:2">
      <c r="B327" s="2"/>
    </row>
    <row r="328" spans="2:2">
      <c r="B328" s="2"/>
    </row>
    <row r="329" spans="2:2">
      <c r="B329" s="2"/>
    </row>
    <row r="330" spans="2:2">
      <c r="B330" s="2"/>
    </row>
    <row r="331" spans="2:2">
      <c r="B331" s="2"/>
    </row>
    <row r="332" spans="2:2">
      <c r="B332" s="2"/>
    </row>
    <row r="333" spans="2:2">
      <c r="B333" s="2"/>
    </row>
    <row r="334" spans="2:2">
      <c r="B334" s="2"/>
    </row>
    <row r="335" spans="2:2">
      <c r="B335" s="2"/>
    </row>
    <row r="336" spans="2:2">
      <c r="B336" s="2"/>
    </row>
    <row r="337" spans="2:2">
      <c r="B337" s="2"/>
    </row>
    <row r="338" spans="2:2">
      <c r="B338" s="2"/>
    </row>
    <row r="339" spans="2:2">
      <c r="B339" s="2"/>
    </row>
    <row r="340" spans="2:2">
      <c r="B340" s="2"/>
    </row>
    <row r="341" spans="2:2">
      <c r="B341" s="2"/>
    </row>
    <row r="342" spans="2:2">
      <c r="B342" s="2"/>
    </row>
    <row r="343" spans="2:2">
      <c r="B343" s="2"/>
    </row>
    <row r="344" spans="2:2">
      <c r="B344" s="2"/>
    </row>
    <row r="345" spans="2:2">
      <c r="B345" s="2"/>
    </row>
    <row r="346" spans="2:2">
      <c r="B346" s="2"/>
    </row>
    <row r="347" spans="2:2">
      <c r="B347" s="2"/>
    </row>
    <row r="348" spans="2:2">
      <c r="B348" s="2"/>
    </row>
    <row r="349" spans="2:2">
      <c r="B349" s="2"/>
    </row>
    <row r="350" spans="2:2">
      <c r="B350" s="2"/>
    </row>
    <row r="351" spans="2:2">
      <c r="B351" s="2"/>
    </row>
    <row r="352" spans="2:2">
      <c r="B352" s="2"/>
    </row>
    <row r="353" spans="2:2">
      <c r="B353" s="2"/>
    </row>
    <row r="354" spans="2:2">
      <c r="B354" s="2"/>
    </row>
    <row r="355" spans="2:2">
      <c r="B355" s="2"/>
    </row>
    <row r="356" spans="2:2">
      <c r="B356" s="2"/>
    </row>
    <row r="357" spans="2:2">
      <c r="B357" s="2"/>
    </row>
    <row r="358" spans="2:2">
      <c r="B358" s="2"/>
    </row>
    <row r="359" spans="2:2">
      <c r="B359" s="2"/>
    </row>
    <row r="360" spans="2:2">
      <c r="B360" s="2"/>
    </row>
    <row r="361" spans="2:2">
      <c r="B361" s="2"/>
    </row>
    <row r="362" spans="2:2">
      <c r="B362" s="2"/>
    </row>
    <row r="363" spans="2:2">
      <c r="B363" s="2"/>
    </row>
    <row r="364" spans="2:2">
      <c r="B364" s="2"/>
    </row>
    <row r="365" spans="2:2">
      <c r="B365" s="2"/>
    </row>
    <row r="366" spans="2:2">
      <c r="B366" s="2"/>
    </row>
    <row r="367" spans="2:2">
      <c r="B367" s="2"/>
    </row>
    <row r="368" spans="2:2">
      <c r="B368" s="2"/>
    </row>
    <row r="369" spans="2:2">
      <c r="B369" s="2"/>
    </row>
    <row r="370" spans="2:2">
      <c r="B370" s="2"/>
    </row>
    <row r="371" spans="2:2">
      <c r="B371" s="2"/>
    </row>
    <row r="372" spans="2:2">
      <c r="B372" s="2"/>
    </row>
    <row r="373" spans="2:2">
      <c r="B373" s="2"/>
    </row>
    <row r="374" spans="2:2">
      <c r="B374" s="2"/>
    </row>
    <row r="375" spans="2:2">
      <c r="B375" s="2"/>
    </row>
    <row r="376" spans="2:2">
      <c r="B376" s="2"/>
    </row>
    <row r="377" spans="2:2">
      <c r="B377" s="2"/>
    </row>
    <row r="378" spans="2:2">
      <c r="B378" s="2"/>
    </row>
    <row r="379" spans="2:2">
      <c r="B379" s="2"/>
    </row>
    <row r="380" spans="2:2">
      <c r="B380" s="2"/>
    </row>
    <row r="381" spans="2:2">
      <c r="B381" s="2"/>
    </row>
    <row r="382" spans="2:2">
      <c r="B382" s="2"/>
    </row>
    <row r="383" spans="2:2">
      <c r="B383" s="2"/>
    </row>
    <row r="384" spans="2:2">
      <c r="B384" s="2"/>
    </row>
    <row r="385" spans="2:2">
      <c r="B385" s="2"/>
    </row>
    <row r="386" spans="2:2">
      <c r="B386" s="2"/>
    </row>
    <row r="387" spans="2:2">
      <c r="B387" s="2"/>
    </row>
    <row r="388" spans="2:2">
      <c r="B388" s="2"/>
    </row>
    <row r="389" spans="2:2">
      <c r="B389" s="2"/>
    </row>
    <row r="390" spans="2:2">
      <c r="B390" s="2"/>
    </row>
    <row r="391" spans="2:2">
      <c r="B391" s="2"/>
    </row>
    <row r="392" spans="2:2">
      <c r="B392" s="2"/>
    </row>
    <row r="393" spans="2:2">
      <c r="B393" s="2"/>
    </row>
    <row r="394" spans="2:2">
      <c r="B394" s="2"/>
    </row>
    <row r="395" spans="2:2">
      <c r="B395" s="2"/>
    </row>
    <row r="396" spans="2:2">
      <c r="B396" s="2"/>
    </row>
    <row r="397" spans="2:2">
      <c r="B397" s="2"/>
    </row>
    <row r="398" spans="2:2">
      <c r="B398" s="2"/>
    </row>
    <row r="399" spans="2:2">
      <c r="B399" s="2"/>
    </row>
    <row r="400" spans="2:2">
      <c r="B400" s="2"/>
    </row>
    <row r="401" spans="2:2">
      <c r="B401" s="2"/>
    </row>
    <row r="402" spans="2:2">
      <c r="B402" s="2"/>
    </row>
    <row r="403" spans="2:2">
      <c r="B403" s="2"/>
    </row>
    <row r="404" spans="2:2">
      <c r="B404" s="2"/>
    </row>
    <row r="405" spans="2:2">
      <c r="B405" s="2"/>
    </row>
    <row r="406" spans="2:2">
      <c r="B406" s="2"/>
    </row>
    <row r="407" spans="2:2">
      <c r="B407" s="2"/>
    </row>
    <row r="408" spans="2:2">
      <c r="B408" s="2"/>
    </row>
    <row r="409" spans="2:2">
      <c r="B409" s="2"/>
    </row>
    <row r="410" spans="2:2">
      <c r="B410" s="2"/>
    </row>
    <row r="411" spans="2:2">
      <c r="B411" s="2"/>
    </row>
    <row r="412" spans="2:2">
      <c r="B412" s="2"/>
    </row>
    <row r="413" spans="2:2">
      <c r="B413" s="2"/>
    </row>
    <row r="414" spans="2:2">
      <c r="B414" s="2"/>
    </row>
    <row r="415" spans="2:2">
      <c r="B415" s="2"/>
    </row>
    <row r="416" spans="2:2">
      <c r="B416" s="2"/>
    </row>
    <row r="417" spans="2:2">
      <c r="B417" s="2"/>
    </row>
    <row r="418" spans="2:2">
      <c r="B418" s="2"/>
    </row>
    <row r="419" spans="2:2">
      <c r="B419" s="2"/>
    </row>
    <row r="420" spans="2:2">
      <c r="B420" s="2"/>
    </row>
    <row r="421" spans="2:2">
      <c r="B421" s="2"/>
    </row>
    <row r="422" spans="2:2">
      <c r="B422" s="2"/>
    </row>
    <row r="423" spans="2:2">
      <c r="B423" s="2"/>
    </row>
    <row r="424" spans="2:2">
      <c r="B424" s="2"/>
    </row>
    <row r="425" spans="2:2">
      <c r="B425" s="2"/>
    </row>
    <row r="426" spans="2:2">
      <c r="B426" s="2"/>
    </row>
    <row r="427" spans="2:2">
      <c r="B427" s="2"/>
    </row>
    <row r="428" spans="2:2">
      <c r="B428" s="2"/>
    </row>
    <row r="429" spans="2:2">
      <c r="B429" s="2"/>
    </row>
    <row r="430" spans="2:2">
      <c r="B430" s="2"/>
    </row>
    <row r="431" spans="2:2">
      <c r="B431" s="2"/>
    </row>
    <row r="432" spans="2:2">
      <c r="B432" s="2"/>
    </row>
    <row r="433" spans="2:2">
      <c r="B433" s="2"/>
    </row>
    <row r="434" spans="2:2">
      <c r="B434" s="2"/>
    </row>
    <row r="435" spans="2:2">
      <c r="B435" s="2"/>
    </row>
    <row r="436" spans="2:2">
      <c r="B436" s="2"/>
    </row>
    <row r="437" spans="2:2">
      <c r="B437" s="2"/>
    </row>
    <row r="438" spans="2:2">
      <c r="B438" s="2"/>
    </row>
    <row r="439" spans="2:2">
      <c r="B439" s="2"/>
    </row>
    <row r="440" spans="2:2">
      <c r="B440" s="2"/>
    </row>
    <row r="441" spans="2:2">
      <c r="B441" s="2"/>
    </row>
    <row r="442" spans="2:2">
      <c r="B442" s="2"/>
    </row>
    <row r="443" spans="2:2">
      <c r="B443" s="2"/>
    </row>
    <row r="444" spans="2:2">
      <c r="B444" s="2"/>
    </row>
    <row r="445" spans="2:2">
      <c r="B445" s="2"/>
    </row>
    <row r="446" spans="2:2">
      <c r="B446" s="2"/>
    </row>
    <row r="447" spans="2:2">
      <c r="B447" s="2"/>
    </row>
    <row r="448" spans="2:2">
      <c r="B448" s="2"/>
    </row>
    <row r="449" spans="2:2">
      <c r="B449" s="2"/>
    </row>
    <row r="450" spans="2:2">
      <c r="B450" s="2"/>
    </row>
    <row r="451" spans="2:2">
      <c r="B451" s="2"/>
    </row>
    <row r="452" spans="2:2">
      <c r="B452" s="2"/>
    </row>
    <row r="453" spans="2:2">
      <c r="B453" s="2"/>
    </row>
    <row r="454" spans="2:2">
      <c r="B454" s="2"/>
    </row>
    <row r="455" spans="2:2">
      <c r="B455" s="2"/>
    </row>
    <row r="456" spans="2:2">
      <c r="B456" s="2"/>
    </row>
    <row r="457" spans="2:2">
      <c r="B457" s="2"/>
    </row>
    <row r="458" spans="2:2">
      <c r="B458" s="2"/>
    </row>
    <row r="459" spans="2:2">
      <c r="B459" s="2"/>
    </row>
    <row r="460" spans="2:2">
      <c r="B460" s="2"/>
    </row>
    <row r="461" spans="2:2">
      <c r="B461" s="2"/>
    </row>
    <row r="462" spans="2:2">
      <c r="B462" s="2"/>
    </row>
    <row r="463" spans="2:2">
      <c r="B463" s="2"/>
    </row>
    <row r="464" spans="2:2">
      <c r="B464" s="2"/>
    </row>
    <row r="465" spans="2:2">
      <c r="B465" s="2"/>
    </row>
    <row r="466" spans="2:2">
      <c r="B466" s="2"/>
    </row>
    <row r="467" spans="2:2">
      <c r="B467" s="2"/>
    </row>
    <row r="468" spans="2:2">
      <c r="B468" s="2"/>
    </row>
    <row r="469" spans="2:2">
      <c r="B469" s="2"/>
    </row>
    <row r="470" spans="2:2">
      <c r="B470" s="2"/>
    </row>
    <row r="471" spans="2:2">
      <c r="B471" s="2"/>
    </row>
    <row r="472" spans="2:2">
      <c r="B472" s="2"/>
    </row>
    <row r="473" spans="2:2">
      <c r="B473" s="2"/>
    </row>
    <row r="474" spans="2:2">
      <c r="B474" s="2"/>
    </row>
    <row r="475" spans="2:2">
      <c r="B475" s="2"/>
    </row>
    <row r="476" spans="2:2">
      <c r="B476" s="2"/>
    </row>
    <row r="477" spans="2:2">
      <c r="B477" s="2"/>
    </row>
    <row r="478" spans="2:2">
      <c r="B478" s="2"/>
    </row>
    <row r="479" spans="2:2">
      <c r="B479" s="2"/>
    </row>
    <row r="480" spans="2:2">
      <c r="B480" s="2"/>
    </row>
    <row r="481" spans="2:2">
      <c r="B481" s="2"/>
    </row>
    <row r="482" spans="2:2">
      <c r="B482" s="2"/>
    </row>
    <row r="483" spans="2:2">
      <c r="B483" s="2"/>
    </row>
    <row r="484" spans="2:2">
      <c r="B484" s="2"/>
    </row>
    <row r="485" spans="2:2">
      <c r="B485" s="2"/>
    </row>
    <row r="486" spans="2:2">
      <c r="B486" s="2"/>
    </row>
    <row r="487" spans="2:2">
      <c r="B487" s="2"/>
    </row>
    <row r="488" spans="2:2">
      <c r="B488" s="2"/>
    </row>
    <row r="489" spans="2:2">
      <c r="B489" s="2"/>
    </row>
    <row r="490" spans="2:2">
      <c r="B490" s="2"/>
    </row>
    <row r="491" spans="2:2">
      <c r="B491" s="2"/>
    </row>
    <row r="492" spans="2:2">
      <c r="B492" s="2"/>
    </row>
    <row r="493" spans="2:2">
      <c r="B493" s="2"/>
    </row>
    <row r="494" spans="2:2">
      <c r="B494" s="2"/>
    </row>
    <row r="495" spans="2:2">
      <c r="B495" s="2"/>
    </row>
    <row r="496" spans="2:2">
      <c r="B496" s="2"/>
    </row>
    <row r="497" spans="2:2">
      <c r="B497" s="2"/>
    </row>
    <row r="498" spans="2:2">
      <c r="B498" s="2"/>
    </row>
    <row r="499" spans="2:2">
      <c r="B499" s="2"/>
    </row>
    <row r="500" spans="2:2">
      <c r="B500" s="2"/>
    </row>
    <row r="501" spans="2:2">
      <c r="B501" s="2"/>
    </row>
    <row r="502" spans="2:2">
      <c r="B502" s="2"/>
    </row>
    <row r="503" spans="2:2">
      <c r="B503" s="2"/>
    </row>
    <row r="504" spans="2:2">
      <c r="B504" s="2"/>
    </row>
    <row r="505" spans="2:2">
      <c r="B505" s="2"/>
    </row>
    <row r="506" spans="2:2">
      <c r="B506" s="2"/>
    </row>
    <row r="507" spans="2:2">
      <c r="B507" s="2"/>
    </row>
    <row r="508" spans="2:2">
      <c r="B508" s="2"/>
    </row>
    <row r="509" spans="2:2">
      <c r="B509" s="2"/>
    </row>
    <row r="510" spans="2:2">
      <c r="B510" s="2"/>
    </row>
    <row r="511" spans="2:2">
      <c r="B511" s="2"/>
    </row>
    <row r="512" spans="2:2">
      <c r="B512" s="2"/>
    </row>
    <row r="513" spans="2:2">
      <c r="B513" s="2"/>
    </row>
    <row r="514" spans="2:2">
      <c r="B514" s="2"/>
    </row>
    <row r="515" spans="2:2">
      <c r="B515" s="2"/>
    </row>
    <row r="516" spans="2:2">
      <c r="B516" s="2"/>
    </row>
    <row r="517" spans="2:2">
      <c r="B517" s="2"/>
    </row>
    <row r="518" spans="2:2">
      <c r="B518" s="2"/>
    </row>
    <row r="519" spans="2:2">
      <c r="B519" s="2"/>
    </row>
    <row r="520" spans="2:2">
      <c r="B520" s="2"/>
    </row>
    <row r="521" spans="2:2">
      <c r="B521" s="2"/>
    </row>
    <row r="522" spans="2:2">
      <c r="B522" s="2"/>
    </row>
    <row r="523" spans="2:2">
      <c r="B523" s="2"/>
    </row>
    <row r="524" spans="2:2">
      <c r="B524" s="2"/>
    </row>
    <row r="525" spans="2:2">
      <c r="B525" s="2"/>
    </row>
    <row r="526" spans="2:2">
      <c r="B526" s="2"/>
    </row>
    <row r="527" spans="2:2">
      <c r="B527" s="2"/>
    </row>
    <row r="528" spans="2:2">
      <c r="B528" s="2"/>
    </row>
    <row r="529" spans="2:2">
      <c r="B529" s="2"/>
    </row>
    <row r="530" spans="2:2">
      <c r="B530" s="2"/>
    </row>
    <row r="531" spans="2:2">
      <c r="B531" s="2"/>
    </row>
    <row r="532" spans="2:2">
      <c r="B532" s="2"/>
    </row>
    <row r="533" spans="2:2">
      <c r="B533" s="2"/>
    </row>
    <row r="534" spans="2:2">
      <c r="B534" s="2"/>
    </row>
    <row r="535" spans="2:2">
      <c r="B535" s="2"/>
    </row>
    <row r="536" spans="2:2">
      <c r="B536" s="2"/>
    </row>
    <row r="537" spans="2:2">
      <c r="B537" s="2"/>
    </row>
    <row r="538" spans="2:2">
      <c r="B538" s="2"/>
    </row>
    <row r="539" spans="2:2">
      <c r="B539" s="2"/>
    </row>
    <row r="540" spans="2:2">
      <c r="B540" s="2"/>
    </row>
    <row r="541" spans="2:2">
      <c r="B541" s="2"/>
    </row>
    <row r="542" spans="2:2">
      <c r="B542" s="2"/>
    </row>
    <row r="543" spans="2:2">
      <c r="B543" s="2"/>
    </row>
    <row r="544" spans="2:2">
      <c r="B544" s="2"/>
    </row>
    <row r="545" spans="2:2">
      <c r="B545" s="2"/>
    </row>
    <row r="546" spans="2:2">
      <c r="B546" s="2"/>
    </row>
    <row r="547" spans="2:2">
      <c r="B547" s="2"/>
    </row>
    <row r="548" spans="2:2">
      <c r="B548" s="2"/>
    </row>
    <row r="549" spans="2:2">
      <c r="B549" s="2"/>
    </row>
    <row r="550" spans="2:2">
      <c r="B550" s="2"/>
    </row>
    <row r="551" spans="2:2">
      <c r="B551" s="2"/>
    </row>
    <row r="552" spans="2:2">
      <c r="B552" s="2"/>
    </row>
    <row r="553" spans="2:2">
      <c r="B553" s="2"/>
    </row>
    <row r="554" spans="2:2">
      <c r="B554" s="2"/>
    </row>
    <row r="555" spans="2:2">
      <c r="B555" s="2"/>
    </row>
    <row r="556" spans="2:2">
      <c r="B556" s="2"/>
    </row>
    <row r="557" spans="2:2">
      <c r="B557" s="2"/>
    </row>
    <row r="558" spans="2:2">
      <c r="B558" s="2"/>
    </row>
    <row r="559" spans="2:2">
      <c r="B559" s="2"/>
    </row>
    <row r="560" spans="2:2">
      <c r="B560" s="2"/>
    </row>
    <row r="561" spans="2:2">
      <c r="B561" s="2"/>
    </row>
    <row r="562" spans="2:2">
      <c r="B562" s="2"/>
    </row>
    <row r="563" spans="2:2">
      <c r="B563" s="2"/>
    </row>
    <row r="564" spans="2:2">
      <c r="B564" s="2"/>
    </row>
    <row r="565" spans="2:2">
      <c r="B565" s="2"/>
    </row>
    <row r="566" spans="2:2">
      <c r="B566" s="2"/>
    </row>
    <row r="567" spans="2:2">
      <c r="B567" s="2"/>
    </row>
    <row r="568" spans="2:2">
      <c r="B568" s="2"/>
    </row>
    <row r="569" spans="2:2">
      <c r="B569" s="2"/>
    </row>
    <row r="570" spans="2:2">
      <c r="B570" s="2"/>
    </row>
    <row r="571" spans="2:2">
      <c r="B571" s="2"/>
    </row>
    <row r="572" spans="2:2">
      <c r="B572" s="2"/>
    </row>
    <row r="573" spans="2:2">
      <c r="B573" s="2"/>
    </row>
    <row r="574" spans="2:2">
      <c r="B574" s="2"/>
    </row>
    <row r="575" spans="2:2">
      <c r="B575" s="2"/>
    </row>
    <row r="576" spans="2:2">
      <c r="B576" s="2"/>
    </row>
    <row r="577" spans="2:2">
      <c r="B577" s="2"/>
    </row>
    <row r="578" spans="2:2">
      <c r="B578" s="2"/>
    </row>
    <row r="579" spans="2:2">
      <c r="B579" s="2"/>
    </row>
    <row r="580" spans="2:2">
      <c r="B580" s="2"/>
    </row>
    <row r="581" spans="2:2">
      <c r="B581" s="2"/>
    </row>
    <row r="582" spans="2:2">
      <c r="B582" s="2"/>
    </row>
    <row r="583" spans="2:2">
      <c r="B583" s="2"/>
    </row>
    <row r="584" spans="2:2">
      <c r="B584" s="2"/>
    </row>
    <row r="585" spans="2:2">
      <c r="B585" s="2"/>
    </row>
    <row r="586" spans="2:2">
      <c r="B586" s="2"/>
    </row>
    <row r="587" spans="2:2">
      <c r="B587" s="2"/>
    </row>
    <row r="588" spans="2:2">
      <c r="B588" s="2"/>
    </row>
    <row r="589" spans="2:2">
      <c r="B589" s="2"/>
    </row>
    <row r="590" spans="2:2">
      <c r="B590" s="2"/>
    </row>
    <row r="591" spans="2:2">
      <c r="B591" s="2"/>
    </row>
    <row r="592" spans="2:2">
      <c r="B592" s="2"/>
    </row>
    <row r="593" spans="2:2">
      <c r="B593" s="2"/>
    </row>
    <row r="594" spans="2:2">
      <c r="B594" s="2"/>
    </row>
    <row r="595" spans="2:2">
      <c r="B595" s="2"/>
    </row>
    <row r="596" spans="2:2">
      <c r="B596" s="2"/>
    </row>
    <row r="597" spans="2:2">
      <c r="B597" s="2"/>
    </row>
    <row r="598" spans="2:2">
      <c r="B598" s="2"/>
    </row>
    <row r="599" spans="2:2">
      <c r="B599" s="2"/>
    </row>
    <row r="600" spans="2:2">
      <c r="B600" s="2"/>
    </row>
    <row r="601" spans="2:2">
      <c r="B601" s="2"/>
    </row>
    <row r="602" spans="2:2">
      <c r="B602" s="2"/>
    </row>
    <row r="603" spans="2:2">
      <c r="B603" s="2"/>
    </row>
    <row r="604" spans="2:2">
      <c r="B604" s="2"/>
    </row>
    <row r="605" spans="2:2">
      <c r="B605" s="2"/>
    </row>
    <row r="606" spans="2:2">
      <c r="B606" s="2"/>
    </row>
    <row r="607" spans="2:2">
      <c r="B607" s="2"/>
    </row>
    <row r="608" spans="2:2">
      <c r="B608" s="2"/>
    </row>
    <row r="609" spans="2:2">
      <c r="B609" s="2"/>
    </row>
    <row r="610" spans="2:2">
      <c r="B610" s="2"/>
    </row>
    <row r="611" spans="2:2">
      <c r="B611" s="2"/>
    </row>
    <row r="612" spans="2:2">
      <c r="B612" s="2"/>
    </row>
    <row r="613" spans="2:2">
      <c r="B613" s="2"/>
    </row>
    <row r="614" spans="2:2">
      <c r="B614" s="2"/>
    </row>
    <row r="615" spans="2:2">
      <c r="B615" s="2"/>
    </row>
    <row r="616" spans="2:2">
      <c r="B616" s="2"/>
    </row>
    <row r="617" spans="2:2">
      <c r="B617" s="2"/>
    </row>
    <row r="618" spans="2:2">
      <c r="B618" s="2"/>
    </row>
    <row r="619" spans="2:2">
      <c r="B619" s="2"/>
    </row>
    <row r="620" spans="2:2">
      <c r="B620" s="2"/>
    </row>
    <row r="621" spans="2:2">
      <c r="B621" s="2"/>
    </row>
    <row r="622" spans="2:2">
      <c r="B622" s="2"/>
    </row>
    <row r="623" spans="2:2">
      <c r="B623" s="2"/>
    </row>
    <row r="624" spans="2:2">
      <c r="B624" s="2"/>
    </row>
    <row r="625" spans="2:2">
      <c r="B625" s="2"/>
    </row>
    <row r="626" spans="2:2">
      <c r="B626" s="2"/>
    </row>
    <row r="627" spans="2:2">
      <c r="B627" s="2"/>
    </row>
    <row r="628" spans="2:2">
      <c r="B628" s="2"/>
    </row>
    <row r="629" spans="2:2">
      <c r="B629" s="2"/>
    </row>
    <row r="630" spans="2:2">
      <c r="B630" s="2"/>
    </row>
    <row r="631" spans="2:2">
      <c r="B631" s="2"/>
    </row>
    <row r="632" spans="2:2">
      <c r="B632" s="2"/>
    </row>
    <row r="633" spans="2:2">
      <c r="B633" s="2"/>
    </row>
    <row r="634" spans="2:2">
      <c r="B634" s="2"/>
    </row>
    <row r="635" spans="2:2">
      <c r="B635" s="2"/>
    </row>
    <row r="636" spans="2:2">
      <c r="B636" s="2"/>
    </row>
    <row r="637" spans="2:2">
      <c r="B637" s="2"/>
    </row>
    <row r="638" spans="2:2">
      <c r="B638" s="2"/>
    </row>
    <row r="639" spans="2:2">
      <c r="B639" s="2"/>
    </row>
    <row r="640" spans="2:2">
      <c r="B640" s="2"/>
    </row>
    <row r="641" spans="2:2">
      <c r="B641" s="2"/>
    </row>
    <row r="642" spans="2:2">
      <c r="B642" s="2"/>
    </row>
    <row r="643" spans="2:2">
      <c r="B643" s="2"/>
    </row>
    <row r="644" spans="2:2">
      <c r="B644" s="2"/>
    </row>
    <row r="645" spans="2:2">
      <c r="B645" s="2"/>
    </row>
    <row r="646" spans="2:2">
      <c r="B646" s="2"/>
    </row>
    <row r="647" spans="2:2">
      <c r="B647" s="2"/>
    </row>
    <row r="648" spans="2:2">
      <c r="B648" s="2"/>
    </row>
    <row r="649" spans="2:2">
      <c r="B649" s="2"/>
    </row>
    <row r="650" spans="2:2">
      <c r="B650" s="2"/>
    </row>
    <row r="651" spans="2:2">
      <c r="B651" s="2"/>
    </row>
    <row r="652" spans="2:2">
      <c r="B652" s="2"/>
    </row>
    <row r="653" spans="2:2">
      <c r="B653" s="2"/>
    </row>
    <row r="654" spans="2:2">
      <c r="B654" s="2"/>
    </row>
    <row r="655" spans="2:2">
      <c r="B655" s="2"/>
    </row>
    <row r="656" spans="2:2">
      <c r="B656" s="2"/>
    </row>
    <row r="657" spans="2:2">
      <c r="B657" s="2"/>
    </row>
    <row r="658" spans="2:2">
      <c r="B658" s="2"/>
    </row>
    <row r="659" spans="2:2">
      <c r="B659" s="2"/>
    </row>
    <row r="660" spans="2:2">
      <c r="B660" s="2"/>
    </row>
    <row r="661" spans="2:2">
      <c r="B661" s="2"/>
    </row>
    <row r="662" spans="2:2">
      <c r="B662" s="2"/>
    </row>
    <row r="663" spans="2:2">
      <c r="B663" s="2"/>
    </row>
    <row r="664" spans="2:2">
      <c r="B664" s="2"/>
    </row>
    <row r="665" spans="2:2">
      <c r="B665" s="2"/>
    </row>
    <row r="666" spans="2:2">
      <c r="B666" s="2"/>
    </row>
    <row r="667" spans="2:2">
      <c r="B667" s="2"/>
    </row>
    <row r="668" spans="2:2">
      <c r="B668" s="2"/>
    </row>
    <row r="669" spans="2:2">
      <c r="B669" s="2"/>
    </row>
    <row r="670" spans="2:2">
      <c r="B670" s="2"/>
    </row>
    <row r="671" spans="2:2">
      <c r="B671" s="2"/>
    </row>
    <row r="672" spans="2:2">
      <c r="B672" s="2"/>
    </row>
    <row r="673" spans="2:2">
      <c r="B673" s="2"/>
    </row>
    <row r="674" spans="2:2">
      <c r="B674" s="2"/>
    </row>
    <row r="675" spans="2:2">
      <c r="B675" s="2"/>
    </row>
    <row r="676" spans="2:2">
      <c r="B676" s="2"/>
    </row>
    <row r="677" spans="2:2">
      <c r="B677" s="2"/>
    </row>
    <row r="678" spans="2:2">
      <c r="B678" s="2"/>
    </row>
    <row r="679" spans="2:2">
      <c r="B679" s="2"/>
    </row>
    <row r="680" spans="2:2">
      <c r="B680" s="2"/>
    </row>
    <row r="681" spans="2:2">
      <c r="B681" s="2"/>
    </row>
    <row r="682" spans="2:2">
      <c r="B682" s="2"/>
    </row>
    <row r="683" spans="2:2">
      <c r="B683" s="2"/>
    </row>
    <row r="684" spans="2:2">
      <c r="B684" s="2"/>
    </row>
    <row r="685" spans="2:2">
      <c r="B685" s="2"/>
    </row>
    <row r="686" spans="2:2">
      <c r="B686" s="2"/>
    </row>
    <row r="687" spans="2:2">
      <c r="B687" s="2"/>
    </row>
    <row r="688" spans="2:2">
      <c r="B688" s="2"/>
    </row>
    <row r="689" spans="2:2">
      <c r="B689" s="2"/>
    </row>
    <row r="690" spans="2:2">
      <c r="B690" s="2"/>
    </row>
    <row r="691" spans="2:2">
      <c r="B691" s="2"/>
    </row>
    <row r="692" spans="2:2">
      <c r="B692" s="2"/>
    </row>
    <row r="693" spans="2:2">
      <c r="B693" s="2"/>
    </row>
    <row r="694" spans="2:2">
      <c r="B694" s="2"/>
    </row>
    <row r="695" spans="2:2">
      <c r="B695" s="2"/>
    </row>
    <row r="696" spans="2:2">
      <c r="B696" s="2"/>
    </row>
    <row r="697" spans="2:2">
      <c r="B697" s="2"/>
    </row>
    <row r="698" spans="2:2">
      <c r="B698" s="2"/>
    </row>
    <row r="699" spans="2:2">
      <c r="B699" s="2"/>
    </row>
    <row r="700" spans="2:2">
      <c r="B700" s="2"/>
    </row>
    <row r="701" spans="2:2">
      <c r="B701" s="2"/>
    </row>
    <row r="702" spans="2:2">
      <c r="B702" s="2"/>
    </row>
    <row r="703" spans="2:2">
      <c r="B703" s="2"/>
    </row>
    <row r="704" spans="2:2">
      <c r="B704" s="2"/>
    </row>
    <row r="705" spans="2:2">
      <c r="B705" s="2"/>
    </row>
    <row r="706" spans="2:2">
      <c r="B706" s="2"/>
    </row>
    <row r="707" spans="2:2">
      <c r="B707" s="2"/>
    </row>
    <row r="708" spans="2:2">
      <c r="B708" s="2"/>
    </row>
    <row r="709" spans="2:2">
      <c r="B709" s="2"/>
    </row>
    <row r="710" spans="2:2">
      <c r="B710" s="2"/>
    </row>
    <row r="711" spans="2:2">
      <c r="B711" s="2"/>
    </row>
    <row r="712" spans="2:2">
      <c r="B712" s="2"/>
    </row>
    <row r="713" spans="2:2">
      <c r="B713" s="2"/>
    </row>
    <row r="714" spans="2:2">
      <c r="B714" s="2"/>
    </row>
    <row r="715" spans="2:2">
      <c r="B715" s="2"/>
    </row>
    <row r="716" spans="2:2">
      <c r="B716" s="2"/>
    </row>
    <row r="717" spans="2:2">
      <c r="B717" s="2"/>
    </row>
    <row r="718" spans="2:2">
      <c r="B718" s="2"/>
    </row>
    <row r="719" spans="2:2">
      <c r="B719" s="2"/>
    </row>
    <row r="720" spans="2:2">
      <c r="B720" s="2"/>
    </row>
    <row r="721" spans="2:2">
      <c r="B721" s="2"/>
    </row>
    <row r="722" spans="2:2">
      <c r="B722" s="2"/>
    </row>
    <row r="723" spans="2:2">
      <c r="B723" s="2"/>
    </row>
    <row r="724" spans="2:2">
      <c r="B724" s="2"/>
    </row>
    <row r="725" spans="2:2">
      <c r="B725" s="2"/>
    </row>
    <row r="726" spans="2:2">
      <c r="B726" s="2"/>
    </row>
    <row r="727" spans="2:2">
      <c r="B727" s="2"/>
    </row>
    <row r="728" spans="2:2">
      <c r="B728" s="2"/>
    </row>
    <row r="729" spans="2:2">
      <c r="B729" s="2"/>
    </row>
    <row r="730" spans="2:2">
      <c r="B730" s="2"/>
    </row>
    <row r="731" spans="2:2">
      <c r="B731" s="2"/>
    </row>
    <row r="732" spans="2:2">
      <c r="B732" s="2"/>
    </row>
    <row r="733" spans="2:2">
      <c r="B733" s="2"/>
    </row>
    <row r="734" spans="2:2">
      <c r="B734" s="2"/>
    </row>
    <row r="735" spans="2:2">
      <c r="B735" s="2"/>
    </row>
    <row r="736" spans="2:2">
      <c r="B736" s="2"/>
    </row>
    <row r="737" spans="2:2">
      <c r="B737" s="2"/>
    </row>
    <row r="738" spans="2:2">
      <c r="B738" s="2"/>
    </row>
    <row r="739" spans="2:2">
      <c r="B739" s="2"/>
    </row>
    <row r="740" spans="2:2">
      <c r="B740" s="2"/>
    </row>
    <row r="741" spans="2:2">
      <c r="B741" s="2"/>
    </row>
    <row r="742" spans="2:2">
      <c r="B742" s="2"/>
    </row>
    <row r="743" spans="2:2">
      <c r="B743" s="2"/>
    </row>
    <row r="744" spans="2:2">
      <c r="B744" s="2"/>
    </row>
    <row r="745" spans="2:2">
      <c r="B745" s="2"/>
    </row>
    <row r="746" spans="2:2">
      <c r="B746" s="2"/>
    </row>
    <row r="747" spans="2:2">
      <c r="B747" s="2"/>
    </row>
    <row r="748" spans="2:2">
      <c r="B748" s="2"/>
    </row>
    <row r="749" spans="2:2">
      <c r="B749" s="2"/>
    </row>
    <row r="750" spans="2:2">
      <c r="B750" s="2"/>
    </row>
    <row r="751" spans="2:2">
      <c r="B751" s="2"/>
    </row>
    <row r="752" spans="2:2">
      <c r="B752" s="2"/>
    </row>
    <row r="753" spans="2:2">
      <c r="B753" s="2"/>
    </row>
    <row r="754" spans="2:2">
      <c r="B754" s="2"/>
    </row>
    <row r="755" spans="2:2">
      <c r="B755" s="2"/>
    </row>
    <row r="756" spans="2:2">
      <c r="B756" s="2"/>
    </row>
    <row r="757" spans="2:2">
      <c r="B757" s="2"/>
    </row>
    <row r="758" spans="2:2">
      <c r="B758" s="2"/>
    </row>
    <row r="759" spans="2:2">
      <c r="B759" s="2"/>
    </row>
    <row r="760" spans="2:2">
      <c r="B760" s="2"/>
    </row>
    <row r="761" spans="2:2">
      <c r="B761" s="2"/>
    </row>
    <row r="762" spans="2:2">
      <c r="B762" s="2"/>
    </row>
    <row r="763" spans="2:2">
      <c r="B763" s="2"/>
    </row>
    <row r="764" spans="2:2">
      <c r="B764" s="2"/>
    </row>
    <row r="765" spans="2:2">
      <c r="B765" s="2"/>
    </row>
    <row r="766" spans="2:2">
      <c r="B766" s="2"/>
    </row>
    <row r="767" spans="2:2">
      <c r="B767" s="2"/>
    </row>
    <row r="768" spans="2:2">
      <c r="B768" s="2"/>
    </row>
    <row r="769" spans="2:2">
      <c r="B769" s="2"/>
    </row>
    <row r="770" spans="2:2">
      <c r="B770" s="2"/>
    </row>
    <row r="771" spans="2:2">
      <c r="B771" s="2"/>
    </row>
    <row r="772" spans="2:2">
      <c r="B772" s="2"/>
    </row>
    <row r="773" spans="2:2">
      <c r="B773" s="2"/>
    </row>
    <row r="774" spans="2:2">
      <c r="B774" s="2"/>
    </row>
    <row r="775" spans="2:2">
      <c r="B775" s="2"/>
    </row>
    <row r="776" spans="2:2">
      <c r="B776" s="2"/>
    </row>
    <row r="777" spans="2:2">
      <c r="B777" s="2"/>
    </row>
    <row r="778" spans="2:2">
      <c r="B778" s="2"/>
    </row>
    <row r="779" spans="2:2">
      <c r="B779" s="2"/>
    </row>
    <row r="780" spans="2:2">
      <c r="B780" s="2"/>
    </row>
    <row r="781" spans="2:2">
      <c r="B781" s="2"/>
    </row>
    <row r="782" spans="2:2">
      <c r="B782" s="2"/>
    </row>
    <row r="783" spans="2:2">
      <c r="B783" s="2"/>
    </row>
    <row r="784" spans="2:2">
      <c r="B784" s="2"/>
    </row>
    <row r="785" spans="2:2">
      <c r="B785" s="2"/>
    </row>
    <row r="786" spans="2:2">
      <c r="B786" s="2"/>
    </row>
    <row r="787" spans="2:2">
      <c r="B787" s="2"/>
    </row>
    <row r="788" spans="2:2">
      <c r="B788" s="2"/>
    </row>
    <row r="789" spans="2:2">
      <c r="B789" s="2"/>
    </row>
    <row r="790" spans="2:2">
      <c r="B790" s="2"/>
    </row>
    <row r="791" spans="2:2">
      <c r="B791" s="2"/>
    </row>
    <row r="792" spans="2:2">
      <c r="B792" s="2"/>
    </row>
    <row r="793" spans="2:2">
      <c r="B793" s="2"/>
    </row>
    <row r="794" spans="2:2">
      <c r="B794" s="2"/>
    </row>
    <row r="795" spans="2:2">
      <c r="B795" s="2"/>
    </row>
    <row r="796" spans="2:2">
      <c r="B796" s="2"/>
    </row>
    <row r="797" spans="2:2">
      <c r="B797" s="2"/>
    </row>
    <row r="798" spans="2:2">
      <c r="B798" s="2"/>
    </row>
    <row r="799" spans="2:2">
      <c r="B799" s="2"/>
    </row>
    <row r="800" spans="2:2">
      <c r="B800" s="2"/>
    </row>
    <row r="801" spans="2:2">
      <c r="B801" s="2"/>
    </row>
    <row r="802" spans="2:2">
      <c r="B802" s="2"/>
    </row>
    <row r="803" spans="2:2">
      <c r="B803" s="2"/>
    </row>
    <row r="804" spans="2:2">
      <c r="B804" s="2"/>
    </row>
    <row r="805" spans="2:2">
      <c r="B805" s="2"/>
    </row>
    <row r="806" spans="2:2">
      <c r="B806" s="2"/>
    </row>
    <row r="807" spans="2:2">
      <c r="B807" s="2"/>
    </row>
    <row r="808" spans="2:2">
      <c r="B808" s="2"/>
    </row>
    <row r="809" spans="2:2">
      <c r="B809" s="2"/>
    </row>
    <row r="810" spans="2:2">
      <c r="B810" s="2"/>
    </row>
    <row r="811" spans="2:2">
      <c r="B811" s="2"/>
    </row>
    <row r="812" spans="2:2">
      <c r="B812" s="2"/>
    </row>
    <row r="813" spans="2:2">
      <c r="B813" s="2"/>
    </row>
    <row r="814" spans="2:2">
      <c r="B814" s="2"/>
    </row>
    <row r="815" spans="2:2">
      <c r="B815" s="2"/>
    </row>
    <row r="816" spans="2:2">
      <c r="B816" s="2"/>
    </row>
    <row r="817" spans="2:2">
      <c r="B817" s="2"/>
    </row>
    <row r="818" spans="2:2">
      <c r="B818" s="2"/>
    </row>
    <row r="819" spans="2:2">
      <c r="B819" s="2"/>
    </row>
    <row r="820" spans="2:2">
      <c r="B820" s="2"/>
    </row>
    <row r="821" spans="2:2">
      <c r="B821" s="2"/>
    </row>
    <row r="822" spans="2:2">
      <c r="B822" s="2"/>
    </row>
    <row r="823" spans="2:2">
      <c r="B823" s="2"/>
    </row>
    <row r="824" spans="2:2">
      <c r="B824" s="2"/>
    </row>
    <row r="825" spans="2:2">
      <c r="B825" s="2"/>
    </row>
    <row r="826" spans="2:2">
      <c r="B826" s="2"/>
    </row>
    <row r="827" spans="2:2">
      <c r="B827" s="2"/>
    </row>
    <row r="828" spans="2:2">
      <c r="B828" s="2"/>
    </row>
    <row r="829" spans="2:2">
      <c r="B829" s="2"/>
    </row>
    <row r="830" spans="2:2">
      <c r="B830" s="2"/>
    </row>
    <row r="831" spans="2:2">
      <c r="B831" s="2"/>
    </row>
    <row r="832" spans="2:2">
      <c r="B832" s="2"/>
    </row>
    <row r="833" spans="2:2">
      <c r="B833" s="2"/>
    </row>
    <row r="834" spans="2:2">
      <c r="B834" s="2"/>
    </row>
    <row r="835" spans="2:2">
      <c r="B835" s="2"/>
    </row>
    <row r="836" spans="2:2">
      <c r="B836" s="2"/>
    </row>
    <row r="837" spans="2:2">
      <c r="B837" s="2"/>
    </row>
    <row r="838" spans="2:2">
      <c r="B838" s="2"/>
    </row>
    <row r="839" spans="2:2">
      <c r="B839" s="2"/>
    </row>
    <row r="840" spans="2:2">
      <c r="B840" s="2"/>
    </row>
    <row r="841" spans="2:2">
      <c r="B841" s="2"/>
    </row>
    <row r="842" spans="2:2">
      <c r="B842" s="2"/>
    </row>
    <row r="843" spans="2:2">
      <c r="B843" s="2"/>
    </row>
    <row r="844" spans="2:2">
      <c r="B844" s="2"/>
    </row>
    <row r="845" spans="2:2">
      <c r="B845" s="2"/>
    </row>
    <row r="846" spans="2:2">
      <c r="B846" s="2"/>
    </row>
    <row r="847" spans="2:2">
      <c r="B847" s="2"/>
    </row>
    <row r="848" spans="2:2">
      <c r="B848" s="2"/>
    </row>
    <row r="849" spans="2:2">
      <c r="B849" s="2"/>
    </row>
    <row r="850" spans="2:2">
      <c r="B850" s="2"/>
    </row>
    <row r="851" spans="2:2">
      <c r="B851" s="2"/>
    </row>
    <row r="852" spans="2:2">
      <c r="B852" s="2"/>
    </row>
    <row r="853" spans="2:2">
      <c r="B853" s="2"/>
    </row>
    <row r="854" spans="2:2">
      <c r="B854" s="2"/>
    </row>
    <row r="855" spans="2:2">
      <c r="B855" s="2"/>
    </row>
    <row r="856" spans="2:2">
      <c r="B856" s="2"/>
    </row>
    <row r="857" spans="2:2">
      <c r="B857" s="2"/>
    </row>
    <row r="858" spans="2:2">
      <c r="B858" s="2"/>
    </row>
    <row r="859" spans="2:2">
      <c r="B859" s="2"/>
    </row>
    <row r="860" spans="2:2">
      <c r="B860" s="2"/>
    </row>
    <row r="861" spans="2:2">
      <c r="B861" s="2"/>
    </row>
    <row r="862" spans="2:2">
      <c r="B862" s="2"/>
    </row>
    <row r="863" spans="2:2">
      <c r="B863" s="2"/>
    </row>
    <row r="864" spans="2:2">
      <c r="B864" s="2"/>
    </row>
    <row r="865" spans="2:2">
      <c r="B865" s="2"/>
    </row>
    <row r="866" spans="2:2">
      <c r="B866" s="2"/>
    </row>
    <row r="867" spans="2:2">
      <c r="B867" s="2"/>
    </row>
    <row r="868" spans="2:2">
      <c r="B868" s="2"/>
    </row>
    <row r="869" spans="2:2">
      <c r="B869" s="2"/>
    </row>
    <row r="870" spans="2:2">
      <c r="B870" s="2"/>
    </row>
    <row r="871" spans="2:2">
      <c r="B871" s="2"/>
    </row>
    <row r="872" spans="2:2">
      <c r="B872" s="2"/>
    </row>
    <row r="873" spans="2:2">
      <c r="B873" s="2"/>
    </row>
    <row r="874" spans="2:2">
      <c r="B874" s="2"/>
    </row>
    <row r="875" spans="2:2">
      <c r="B875" s="2"/>
    </row>
    <row r="876" spans="2:2">
      <c r="B876" s="2"/>
    </row>
    <row r="877" spans="2:2">
      <c r="B877" s="2"/>
    </row>
    <row r="878" spans="2:2">
      <c r="B878" s="2"/>
    </row>
    <row r="879" spans="2:2">
      <c r="B879" s="2"/>
    </row>
    <row r="880" spans="2:2">
      <c r="B880" s="2"/>
    </row>
    <row r="881" spans="2:2">
      <c r="B881" s="2"/>
    </row>
    <row r="882" spans="2:2">
      <c r="B882" s="2"/>
    </row>
    <row r="883" spans="2:2">
      <c r="B883" s="2"/>
    </row>
    <row r="884" spans="2:2">
      <c r="B884" s="2"/>
    </row>
    <row r="885" spans="2:2">
      <c r="B885" s="2"/>
    </row>
    <row r="886" spans="2:2">
      <c r="B886" s="2"/>
    </row>
    <row r="887" spans="2:2">
      <c r="B887" s="2"/>
    </row>
    <row r="888" spans="2:2">
      <c r="B888" s="2"/>
    </row>
    <row r="889" spans="2:2">
      <c r="B889" s="2"/>
    </row>
    <row r="890" spans="2:2">
      <c r="B890" s="2"/>
    </row>
    <row r="891" spans="2:2">
      <c r="B891" s="2"/>
    </row>
    <row r="892" spans="2:2">
      <c r="B892" s="2"/>
    </row>
    <row r="893" spans="2:2">
      <c r="B893" s="2"/>
    </row>
    <row r="894" spans="2:2">
      <c r="B894" s="2"/>
    </row>
    <row r="895" spans="2:2">
      <c r="B895" s="2"/>
    </row>
    <row r="896" spans="2:2">
      <c r="B896" s="2"/>
    </row>
    <row r="897" spans="2:2">
      <c r="B897" s="2"/>
    </row>
    <row r="898" spans="2:2">
      <c r="B898" s="2"/>
    </row>
    <row r="899" spans="2:2">
      <c r="B899" s="2"/>
    </row>
    <row r="900" spans="2:2">
      <c r="B900" s="2"/>
    </row>
    <row r="901" spans="2:2">
      <c r="B901" s="2"/>
    </row>
    <row r="902" spans="2:2">
      <c r="B902" s="2"/>
    </row>
    <row r="903" spans="2:2">
      <c r="B903" s="2"/>
    </row>
    <row r="904" spans="2:2">
      <c r="B904" s="2"/>
    </row>
    <row r="905" spans="2:2">
      <c r="B905" s="2"/>
    </row>
    <row r="906" spans="2:2">
      <c r="B906" s="2"/>
    </row>
    <row r="907" spans="2:2">
      <c r="B907" s="2"/>
    </row>
    <row r="908" spans="2:2">
      <c r="B908" s="2"/>
    </row>
    <row r="909" spans="2:2">
      <c r="B909" s="2"/>
    </row>
    <row r="910" spans="2:2">
      <c r="B910" s="2"/>
    </row>
    <row r="911" spans="2:2">
      <c r="B911" s="2"/>
    </row>
    <row r="912" spans="2:2">
      <c r="B912" s="2"/>
    </row>
    <row r="913" spans="2:2">
      <c r="B913" s="2"/>
    </row>
    <row r="914" spans="2:2">
      <c r="B914" s="2"/>
    </row>
    <row r="915" spans="2:2">
      <c r="B915" s="2"/>
    </row>
    <row r="916" spans="2:2">
      <c r="B916" s="2"/>
    </row>
    <row r="917" spans="2:2">
      <c r="B917" s="2"/>
    </row>
    <row r="918" spans="2:2">
      <c r="B918" s="2"/>
    </row>
    <row r="919" spans="2:2">
      <c r="B919" s="2"/>
    </row>
    <row r="920" spans="2:2">
      <c r="B920" s="2"/>
    </row>
    <row r="921" spans="2:2">
      <c r="B921" s="2"/>
    </row>
    <row r="922" spans="2:2">
      <c r="B922" s="2"/>
    </row>
    <row r="923" spans="2:2">
      <c r="B923" s="2"/>
    </row>
    <row r="924" spans="2:2">
      <c r="B924" s="2"/>
    </row>
    <row r="925" spans="2:2">
      <c r="B925" s="2"/>
    </row>
    <row r="926" spans="2:2">
      <c r="B926" s="2"/>
    </row>
    <row r="927" spans="2:2">
      <c r="B927" s="2"/>
    </row>
    <row r="928" spans="2:2">
      <c r="B928" s="2"/>
    </row>
    <row r="929" spans="2:2">
      <c r="B929" s="2"/>
    </row>
    <row r="930" spans="2:2">
      <c r="B930" s="2"/>
    </row>
    <row r="931" spans="2:2">
      <c r="B931" s="2"/>
    </row>
    <row r="932" spans="2:2">
      <c r="B932" s="2"/>
    </row>
    <row r="933" spans="2:2">
      <c r="B933" s="2"/>
    </row>
    <row r="934" spans="2:2">
      <c r="B934" s="2"/>
    </row>
    <row r="935" spans="2:2">
      <c r="B935" s="2"/>
    </row>
    <row r="936" spans="2:2">
      <c r="B936" s="2"/>
    </row>
    <row r="937" spans="2:2">
      <c r="B937" s="2"/>
    </row>
    <row r="938" spans="2:2">
      <c r="B938" s="2"/>
    </row>
    <row r="939" spans="2:2">
      <c r="B939" s="2"/>
    </row>
    <row r="940" spans="2:2">
      <c r="B940" s="2"/>
    </row>
    <row r="941" spans="2:2">
      <c r="B941" s="2"/>
    </row>
    <row r="942" spans="2:2">
      <c r="B942" s="2"/>
    </row>
    <row r="943" spans="2:2">
      <c r="B943" s="2"/>
    </row>
    <row r="944" spans="2:2">
      <c r="B944" s="2"/>
    </row>
    <row r="945" spans="2:2">
      <c r="B945" s="2"/>
    </row>
    <row r="946" spans="2:2">
      <c r="B946" s="2"/>
    </row>
    <row r="947" spans="2:2">
      <c r="B947" s="2"/>
    </row>
    <row r="948" spans="2:2">
      <c r="B948" s="2"/>
    </row>
    <row r="949" spans="2:2">
      <c r="B949" s="2"/>
    </row>
    <row r="950" spans="2:2">
      <c r="B950" s="2"/>
    </row>
    <row r="951" spans="2:2">
      <c r="B951" s="2"/>
    </row>
    <row r="952" spans="2:2">
      <c r="B952" s="2"/>
    </row>
    <row r="953" spans="2:2">
      <c r="B953" s="2"/>
    </row>
    <row r="954" spans="2:2">
      <c r="B954" s="2"/>
    </row>
    <row r="955" spans="2:2">
      <c r="B955" s="2"/>
    </row>
    <row r="956" spans="2:2">
      <c r="B956" s="2"/>
    </row>
    <row r="957" spans="2:2">
      <c r="B957" s="2"/>
    </row>
    <row r="958" spans="2:2">
      <c r="B958" s="2"/>
    </row>
    <row r="959" spans="2:2">
      <c r="B959" s="2"/>
    </row>
    <row r="960" spans="2:2">
      <c r="B960" s="2"/>
    </row>
    <row r="961" spans="2:2">
      <c r="B961" s="2"/>
    </row>
    <row r="962" spans="2:2">
      <c r="B962" s="2"/>
    </row>
    <row r="963" spans="2:2">
      <c r="B963" s="2"/>
    </row>
    <row r="964" spans="2:2">
      <c r="B964" s="2"/>
    </row>
    <row r="965" spans="2:2">
      <c r="B965" s="2"/>
    </row>
    <row r="966" spans="2:2">
      <c r="B966" s="2"/>
    </row>
    <row r="967" spans="2:2">
      <c r="B967" s="2"/>
    </row>
    <row r="968" spans="2:2">
      <c r="B968" s="2"/>
    </row>
    <row r="969" spans="2:2">
      <c r="B969" s="2"/>
    </row>
    <row r="970" spans="2:2">
      <c r="B970" s="2"/>
    </row>
    <row r="971" spans="2:2">
      <c r="B971" s="2"/>
    </row>
    <row r="972" spans="2:2">
      <c r="B972" s="2"/>
    </row>
    <row r="973" spans="2:2">
      <c r="B973" s="2"/>
    </row>
    <row r="974" spans="2:2">
      <c r="B974" s="2"/>
    </row>
    <row r="975" spans="2:2">
      <c r="B975" s="2"/>
    </row>
    <row r="976" spans="2:2">
      <c r="B976" s="2"/>
    </row>
    <row r="977" spans="2:2">
      <c r="B977" s="2"/>
    </row>
    <row r="978" spans="2:2">
      <c r="B978" s="2"/>
    </row>
    <row r="979" spans="2:2">
      <c r="B979" s="2"/>
    </row>
    <row r="980" spans="2:2">
      <c r="B980" s="2"/>
    </row>
    <row r="981" spans="2:2">
      <c r="B981" s="2"/>
    </row>
    <row r="982" spans="2:2">
      <c r="B982" s="2"/>
    </row>
    <row r="983" spans="2:2">
      <c r="B983" s="2"/>
    </row>
    <row r="984" spans="2:2">
      <c r="B984" s="2"/>
    </row>
    <row r="985" spans="2:2">
      <c r="B985" s="2"/>
    </row>
    <row r="986" spans="2:2">
      <c r="B986" s="2"/>
    </row>
    <row r="987" spans="2:2">
      <c r="B987" s="2"/>
    </row>
    <row r="988" spans="2:2">
      <c r="B988" s="2"/>
    </row>
    <row r="989" spans="2:2">
      <c r="B989" s="2"/>
    </row>
    <row r="990" spans="2:2">
      <c r="B990" s="2"/>
    </row>
    <row r="991" spans="2:2">
      <c r="B991" s="2"/>
    </row>
    <row r="992" spans="2:2">
      <c r="B992" s="2"/>
    </row>
    <row r="993" spans="2:2">
      <c r="B993" s="2"/>
    </row>
    <row r="994" spans="2:2">
      <c r="B994" s="2"/>
    </row>
    <row r="995" spans="2:2">
      <c r="B995" s="2"/>
    </row>
    <row r="996" spans="2:2">
      <c r="B996" s="2"/>
    </row>
    <row r="997" spans="2:2">
      <c r="B997" s="2"/>
    </row>
    <row r="998" spans="2:2">
      <c r="B998" s="2"/>
    </row>
    <row r="999" spans="2:2">
      <c r="B999" s="2"/>
    </row>
    <row r="1000" spans="2:2">
      <c r="B1000" s="2"/>
    </row>
    <row r="1001" spans="2:2">
      <c r="B1001" s="2"/>
    </row>
  </sheetData>
  <conditionalFormatting sqref="O1:O1048576">
    <cfRule type="top10" dxfId="0" priority="1" percent="1" rank="10"/>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33045-1C01-4C40-B722-293394FA0756}">
  <dimension ref="A3:M55"/>
  <sheetViews>
    <sheetView workbookViewId="0">
      <selection activeCell="B55" sqref="B55"/>
    </sheetView>
  </sheetViews>
  <sheetFormatPr defaultRowHeight="14.4"/>
  <cols>
    <col min="1" max="1" width="12.5546875" bestFit="1" customWidth="1"/>
    <col min="2" max="2" width="17" bestFit="1" customWidth="1"/>
    <col min="3" max="3" width="15.6640625" bestFit="1" customWidth="1"/>
    <col min="4" max="4" width="23.33203125" bestFit="1" customWidth="1"/>
    <col min="8" max="8" width="12.5546875" bestFit="1" customWidth="1"/>
    <col min="9" max="9" width="17" bestFit="1" customWidth="1"/>
    <col min="10" max="10" width="15.6640625" bestFit="1" customWidth="1"/>
    <col min="11" max="11" width="16.6640625" customWidth="1"/>
  </cols>
  <sheetData>
    <row r="3" spans="1:9">
      <c r="H3" s="4" t="s">
        <v>59</v>
      </c>
      <c r="I3" t="s">
        <v>93</v>
      </c>
    </row>
    <row r="4" spans="1:9">
      <c r="H4" s="5" t="s">
        <v>83</v>
      </c>
      <c r="I4">
        <v>10</v>
      </c>
    </row>
    <row r="5" spans="1:9">
      <c r="H5" s="5" t="s">
        <v>80</v>
      </c>
      <c r="I5">
        <v>214</v>
      </c>
    </row>
    <row r="6" spans="1:9">
      <c r="H6" s="5" t="s">
        <v>86</v>
      </c>
      <c r="I6">
        <v>76</v>
      </c>
    </row>
    <row r="7" spans="1:9">
      <c r="H7" s="5" t="s">
        <v>64</v>
      </c>
      <c r="I7">
        <v>300</v>
      </c>
    </row>
    <row r="14" spans="1:9">
      <c r="A14" s="4" t="s">
        <v>59</v>
      </c>
      <c r="B14" t="s">
        <v>65</v>
      </c>
      <c r="H14" s="4" t="s">
        <v>59</v>
      </c>
      <c r="I14" t="s">
        <v>66</v>
      </c>
    </row>
    <row r="15" spans="1:9">
      <c r="A15" s="5" t="s">
        <v>60</v>
      </c>
      <c r="B15">
        <v>12247840.560000001</v>
      </c>
      <c r="H15" s="5" t="s">
        <v>16</v>
      </c>
      <c r="I15">
        <v>4483094.3000000007</v>
      </c>
    </row>
    <row r="16" spans="1:9">
      <c r="A16" s="5" t="s">
        <v>61</v>
      </c>
      <c r="B16">
        <v>9480441.6700000018</v>
      </c>
      <c r="H16" s="5" t="s">
        <v>31</v>
      </c>
      <c r="I16">
        <v>3747275.0500000007</v>
      </c>
    </row>
    <row r="17" spans="1:10">
      <c r="A17" s="5" t="s">
        <v>62</v>
      </c>
      <c r="B17">
        <v>10403175.799999999</v>
      </c>
      <c r="H17" s="5" t="s">
        <v>41</v>
      </c>
      <c r="I17">
        <v>4204797.209999999</v>
      </c>
    </row>
    <row r="18" spans="1:10">
      <c r="A18" s="5" t="s">
        <v>63</v>
      </c>
      <c r="B18">
        <v>5514085.1100000022</v>
      </c>
      <c r="H18" s="5" t="s">
        <v>26</v>
      </c>
      <c r="I18">
        <v>5050713.6399999997</v>
      </c>
    </row>
    <row r="19" spans="1:10">
      <c r="A19" s="5" t="s">
        <v>64</v>
      </c>
      <c r="B19">
        <v>37645543.140000001</v>
      </c>
      <c r="H19" s="5" t="s">
        <v>64</v>
      </c>
      <c r="I19">
        <v>17485880.199999999</v>
      </c>
    </row>
    <row r="30" spans="1:10">
      <c r="A30" s="4" t="s">
        <v>59</v>
      </c>
      <c r="B30" t="s">
        <v>65</v>
      </c>
      <c r="H30" s="4" t="s">
        <v>59</v>
      </c>
      <c r="I30" t="s">
        <v>65</v>
      </c>
      <c r="J30" t="s">
        <v>66</v>
      </c>
    </row>
    <row r="31" spans="1:10">
      <c r="A31" s="5" t="s">
        <v>42</v>
      </c>
      <c r="B31">
        <v>6855560.5100000007</v>
      </c>
      <c r="H31" s="5" t="s">
        <v>36</v>
      </c>
      <c r="I31">
        <v>10042229.010000002</v>
      </c>
      <c r="J31">
        <v>3694977.42</v>
      </c>
    </row>
    <row r="32" spans="1:10">
      <c r="A32" s="5" t="s">
        <v>35</v>
      </c>
      <c r="B32">
        <v>7270146.0199999986</v>
      </c>
      <c r="H32" s="5" t="s">
        <v>15</v>
      </c>
      <c r="I32">
        <v>9224609.9799999986</v>
      </c>
      <c r="J32">
        <v>4556888.8499999996</v>
      </c>
    </row>
    <row r="33" spans="1:10">
      <c r="A33" s="5" t="s">
        <v>21</v>
      </c>
      <c r="B33">
        <v>7085393.2899999972</v>
      </c>
      <c r="H33" s="5" t="s">
        <v>25</v>
      </c>
      <c r="I33">
        <v>9751682.4500000011</v>
      </c>
      <c r="J33">
        <v>5309849.0799999991</v>
      </c>
    </row>
    <row r="34" spans="1:10">
      <c r="A34" s="5" t="s">
        <v>30</v>
      </c>
      <c r="B34">
        <v>7275262.2199999988</v>
      </c>
      <c r="H34" s="5" t="s">
        <v>33</v>
      </c>
      <c r="I34">
        <v>8627021.7000000011</v>
      </c>
      <c r="J34">
        <v>3924164.850000001</v>
      </c>
    </row>
    <row r="35" spans="1:10">
      <c r="A35" s="5" t="s">
        <v>14</v>
      </c>
      <c r="B35">
        <v>9159181.0999999996</v>
      </c>
      <c r="H35" s="5" t="s">
        <v>64</v>
      </c>
      <c r="I35">
        <v>37645543.140000008</v>
      </c>
      <c r="J35">
        <v>17485880.199999999</v>
      </c>
    </row>
    <row r="36" spans="1:10">
      <c r="A36" s="5" t="s">
        <v>64</v>
      </c>
      <c r="B36">
        <v>37645543.139999993</v>
      </c>
    </row>
    <row r="44" spans="1:10">
      <c r="B44" s="14"/>
    </row>
    <row r="50" spans="1:13">
      <c r="A50" s="17" t="s">
        <v>68</v>
      </c>
      <c r="B50" s="17"/>
      <c r="D50" s="17" t="s">
        <v>70</v>
      </c>
      <c r="E50" s="17"/>
      <c r="G50" s="17" t="s">
        <v>74</v>
      </c>
      <c r="H50" s="17"/>
      <c r="I50" s="17"/>
      <c r="K50" s="18" t="s">
        <v>87</v>
      </c>
      <c r="L50" s="18"/>
      <c r="M50" s="18"/>
    </row>
    <row r="52" spans="1:13" ht="14.4" customHeight="1">
      <c r="A52" t="s">
        <v>67</v>
      </c>
      <c r="D52" t="s">
        <v>71</v>
      </c>
      <c r="E52" t="s">
        <v>25</v>
      </c>
      <c r="G52" s="8" t="s">
        <v>75</v>
      </c>
      <c r="H52" s="8" t="s">
        <v>76</v>
      </c>
      <c r="I52" s="9" t="s">
        <v>77</v>
      </c>
      <c r="K52" t="s">
        <v>88</v>
      </c>
      <c r="L52" s="3">
        <f>COUNTA(SalesMaster[Total_Sales])</f>
        <v>300</v>
      </c>
    </row>
    <row r="53" spans="1:13">
      <c r="A53" s="3" t="s">
        <v>69</v>
      </c>
      <c r="B53" t="e">
        <f>INDEX(SalesMaster[Product_Category], MATCH(B52, SalesMaster[Product_ID], 0))</f>
        <v>#N/A</v>
      </c>
      <c r="D53" t="s">
        <v>72</v>
      </c>
      <c r="E53" t="s">
        <v>16</v>
      </c>
      <c r="G53" s="8" t="s">
        <v>78</v>
      </c>
      <c r="H53" s="8" t="s">
        <v>79</v>
      </c>
      <c r="I53" s="9" t="s">
        <v>80</v>
      </c>
    </row>
    <row r="54" spans="1:13">
      <c r="D54" t="s">
        <v>73</v>
      </c>
      <c r="E54">
        <f>SUMIFS(SalesMaster[Total_Sales], SalesMaster[Region], E52, SalesMaster[Product_Category], E53)</f>
        <v>2773543.7299999995</v>
      </c>
      <c r="G54" s="8" t="s">
        <v>81</v>
      </c>
      <c r="H54" s="8" t="s">
        <v>82</v>
      </c>
      <c r="I54" s="9" t="s">
        <v>83</v>
      </c>
    </row>
    <row r="55" spans="1:13" ht="28.8">
      <c r="G55" s="8" t="s">
        <v>84</v>
      </c>
      <c r="H55" s="8" t="s">
        <v>85</v>
      </c>
      <c r="I55" s="9" t="s">
        <v>86</v>
      </c>
    </row>
  </sheetData>
  <mergeCells count="4">
    <mergeCell ref="A50:B50"/>
    <mergeCell ref="D50:E50"/>
    <mergeCell ref="G50:I50"/>
    <mergeCell ref="K50:M50"/>
  </mergeCells>
  <dataValidations count="1">
    <dataValidation errorStyle="information" allowBlank="1" showInputMessage="1" showErrorMessage="1" error="Enter ProductID first" sqref="B53" xr:uid="{CDC03B07-AB51-41BA-BDD0-1491C632AF87}"/>
  </dataValidations>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Sales Data</vt:lpstr>
      <vt:lpstr>Visualization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916355160015</dc:creator>
  <cp:lastModifiedBy>916355160015</cp:lastModifiedBy>
  <dcterms:created xsi:type="dcterms:W3CDTF">2026-05-05T03:56:09Z</dcterms:created>
  <dcterms:modified xsi:type="dcterms:W3CDTF">2026-05-05T07:55:00Z</dcterms:modified>
</cp:coreProperties>
</file>